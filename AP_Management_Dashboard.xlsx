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bb1084db5732e20/Desktop/"/>
    </mc:Choice>
  </mc:AlternateContent>
  <xr:revisionPtr revIDLastSave="11" documentId="8_{1FBBB07C-EA30-4556-BF46-E381D8737F8B}" xr6:coauthVersionLast="47" xr6:coauthVersionMax="47" xr10:uidLastSave="{D62AB42D-C967-4487-B15A-B8108E191220}"/>
  <bookViews>
    <workbookView xWindow="-120" yWindow="-120" windowWidth="20730" windowHeight="11040" tabRatio="500" firstSheet="4" activeTab="6" xr2:uid="{00000000-000D-0000-FFFF-FFFF00000000}"/>
  </bookViews>
  <sheets>
    <sheet name="Data" sheetId="1" r:id="rId1"/>
    <sheet name="Dashboard" sheetId="2" r:id="rId2"/>
    <sheet name="Exceptions Detail" sheetId="3" r:id="rId3"/>
    <sheet name="Summary Tables" sheetId="4" r:id="rId4"/>
    <sheet name="Vendor Analysis" sheetId="5" r:id="rId5"/>
    <sheet name="Formulas &amp; Calculations" sheetId="6" r:id="rId6"/>
    <sheet name="Project Pipelin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0" i="4" l="1"/>
  <c r="F60" i="4"/>
  <c r="E60" i="4"/>
  <c r="D60" i="4"/>
  <c r="C60" i="4"/>
  <c r="F54" i="4"/>
  <c r="E54" i="4"/>
  <c r="E19" i="5" s="1"/>
  <c r="D54" i="4"/>
  <c r="C54" i="4"/>
  <c r="C19" i="5" s="1"/>
  <c r="F53" i="4"/>
  <c r="F18" i="5" s="1"/>
  <c r="E53" i="4"/>
  <c r="D53" i="4"/>
  <c r="D18" i="5" s="1"/>
  <c r="C53" i="4"/>
  <c r="F52" i="4"/>
  <c r="E52" i="4"/>
  <c r="E17" i="5" s="1"/>
  <c r="D52" i="4"/>
  <c r="C52" i="4"/>
  <c r="C17" i="5" s="1"/>
  <c r="F51" i="4"/>
  <c r="F16" i="5" s="1"/>
  <c r="E51" i="4"/>
  <c r="D51" i="4"/>
  <c r="D16" i="5" s="1"/>
  <c r="C51" i="4"/>
  <c r="F50" i="4"/>
  <c r="E50" i="4"/>
  <c r="E15" i="5" s="1"/>
  <c r="D50" i="4"/>
  <c r="C50" i="4"/>
  <c r="C15" i="5" s="1"/>
  <c r="F49" i="4"/>
  <c r="F14" i="5" s="1"/>
  <c r="E49" i="4"/>
  <c r="D49" i="4"/>
  <c r="D14" i="5" s="1"/>
  <c r="C49" i="4"/>
  <c r="F48" i="4"/>
  <c r="E48" i="4"/>
  <c r="E13" i="5" s="1"/>
  <c r="D48" i="4"/>
  <c r="C48" i="4"/>
  <c r="C13" i="5" s="1"/>
  <c r="F47" i="4"/>
  <c r="F12" i="5" s="1"/>
  <c r="E47" i="4"/>
  <c r="D47" i="4"/>
  <c r="D12" i="5" s="1"/>
  <c r="C47" i="4"/>
  <c r="F46" i="4"/>
  <c r="E46" i="4"/>
  <c r="E11" i="5" s="1"/>
  <c r="D46" i="4"/>
  <c r="C46" i="4"/>
  <c r="C11" i="5" s="1"/>
  <c r="F45" i="4"/>
  <c r="F10" i="5" s="1"/>
  <c r="E45" i="4"/>
  <c r="D45" i="4"/>
  <c r="D10" i="5" s="1"/>
  <c r="C45" i="4"/>
  <c r="F44" i="4"/>
  <c r="E44" i="4"/>
  <c r="E9" i="5" s="1"/>
  <c r="D44" i="4"/>
  <c r="C44" i="4"/>
  <c r="C9" i="5" s="1"/>
  <c r="F43" i="4"/>
  <c r="F8" i="5" s="1"/>
  <c r="E43" i="4"/>
  <c r="D43" i="4"/>
  <c r="D8" i="5" s="1"/>
  <c r="C43" i="4"/>
  <c r="F42" i="4"/>
  <c r="E42" i="4"/>
  <c r="E7" i="5" s="1"/>
  <c r="D42" i="4"/>
  <c r="C42" i="4"/>
  <c r="C7" i="5" s="1"/>
  <c r="F41" i="4"/>
  <c r="F6" i="5" s="1"/>
  <c r="E41" i="4"/>
  <c r="D41" i="4"/>
  <c r="D6" i="5" s="1"/>
  <c r="C41" i="4"/>
  <c r="F40" i="4"/>
  <c r="E40" i="4"/>
  <c r="D40" i="4"/>
  <c r="C40" i="4"/>
  <c r="D36" i="4"/>
  <c r="D35" i="4"/>
  <c r="D34" i="4"/>
  <c r="D33" i="4"/>
  <c r="D32" i="4"/>
  <c r="D31" i="4"/>
  <c r="D27" i="4"/>
  <c r="C27" i="4"/>
  <c r="D26" i="4"/>
  <c r="C26" i="4"/>
  <c r="D25" i="4"/>
  <c r="C25" i="4"/>
  <c r="D24" i="4"/>
  <c r="C24" i="4"/>
  <c r="D23" i="4"/>
  <c r="C23" i="4"/>
  <c r="D22" i="4"/>
  <c r="C22" i="4"/>
  <c r="C18" i="4"/>
  <c r="C17" i="4"/>
  <c r="C16" i="4"/>
  <c r="C15" i="4"/>
  <c r="C14" i="4"/>
  <c r="D10" i="4"/>
  <c r="C10" i="4"/>
  <c r="D8" i="4"/>
  <c r="M8" i="2" s="1"/>
  <c r="C8" i="4"/>
  <c r="D6" i="4"/>
  <c r="B9" i="2" s="1"/>
  <c r="C6" i="4"/>
  <c r="D5" i="4"/>
  <c r="B8" i="2" s="1"/>
  <c r="C5" i="4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G8" i="3"/>
  <c r="F8" i="3"/>
  <c r="E8" i="3"/>
  <c r="D8" i="3"/>
  <c r="C8" i="3"/>
  <c r="M9" i="2"/>
  <c r="J132" i="1"/>
  <c r="I132" i="1"/>
  <c r="R131" i="1"/>
  <c r="Q131" i="1"/>
  <c r="N131" i="1"/>
  <c r="R130" i="1"/>
  <c r="Q130" i="1"/>
  <c r="N130" i="1"/>
  <c r="R129" i="1"/>
  <c r="Q129" i="1"/>
  <c r="N129" i="1"/>
  <c r="R128" i="1"/>
  <c r="Q128" i="1"/>
  <c r="N128" i="1"/>
  <c r="R127" i="1"/>
  <c r="Q127" i="1"/>
  <c r="N127" i="1"/>
  <c r="R126" i="1"/>
  <c r="Q126" i="1"/>
  <c r="N126" i="1"/>
  <c r="R125" i="1"/>
  <c r="Q125" i="1"/>
  <c r="N125" i="1"/>
  <c r="R124" i="1"/>
  <c r="Q124" i="1"/>
  <c r="N124" i="1"/>
  <c r="R123" i="1"/>
  <c r="Q123" i="1"/>
  <c r="N123" i="1"/>
  <c r="R122" i="1"/>
  <c r="Q122" i="1"/>
  <c r="N122" i="1"/>
  <c r="R121" i="1"/>
  <c r="Q121" i="1"/>
  <c r="N121" i="1"/>
  <c r="R120" i="1"/>
  <c r="Q120" i="1"/>
  <c r="N120" i="1"/>
  <c r="R119" i="1"/>
  <c r="Q119" i="1"/>
  <c r="N119" i="1"/>
  <c r="R118" i="1"/>
  <c r="Q118" i="1"/>
  <c r="N118" i="1"/>
  <c r="R117" i="1"/>
  <c r="Q117" i="1"/>
  <c r="N117" i="1"/>
  <c r="R116" i="1"/>
  <c r="Q116" i="1"/>
  <c r="N116" i="1"/>
  <c r="R115" i="1"/>
  <c r="Q115" i="1"/>
  <c r="N115" i="1"/>
  <c r="R114" i="1"/>
  <c r="Q114" i="1"/>
  <c r="N114" i="1"/>
  <c r="R113" i="1"/>
  <c r="Q113" i="1"/>
  <c r="N113" i="1"/>
  <c r="R112" i="1"/>
  <c r="Q112" i="1"/>
  <c r="N112" i="1"/>
  <c r="R111" i="1"/>
  <c r="Q111" i="1"/>
  <c r="N111" i="1"/>
  <c r="R110" i="1"/>
  <c r="Q110" i="1"/>
  <c r="N110" i="1"/>
  <c r="R109" i="1"/>
  <c r="Q109" i="1"/>
  <c r="N109" i="1"/>
  <c r="R108" i="1"/>
  <c r="Q108" i="1"/>
  <c r="N108" i="1"/>
  <c r="R107" i="1"/>
  <c r="Q107" i="1"/>
  <c r="N107" i="1"/>
  <c r="R106" i="1"/>
  <c r="Q106" i="1"/>
  <c r="N106" i="1"/>
  <c r="R105" i="1"/>
  <c r="Q105" i="1"/>
  <c r="N105" i="1"/>
  <c r="R104" i="1"/>
  <c r="Q104" i="1"/>
  <c r="N104" i="1"/>
  <c r="R103" i="1"/>
  <c r="Q103" i="1"/>
  <c r="N103" i="1"/>
  <c r="R102" i="1"/>
  <c r="Q102" i="1"/>
  <c r="N102" i="1"/>
  <c r="R101" i="1"/>
  <c r="Q101" i="1"/>
  <c r="N101" i="1"/>
  <c r="R100" i="1"/>
  <c r="Q100" i="1"/>
  <c r="N100" i="1"/>
  <c r="R99" i="1"/>
  <c r="Q99" i="1"/>
  <c r="N99" i="1"/>
  <c r="R98" i="1"/>
  <c r="Q98" i="1"/>
  <c r="N98" i="1"/>
  <c r="R97" i="1"/>
  <c r="Q97" i="1"/>
  <c r="N97" i="1"/>
  <c r="R96" i="1"/>
  <c r="Q96" i="1"/>
  <c r="N96" i="1"/>
  <c r="R95" i="1"/>
  <c r="Q95" i="1"/>
  <c r="N95" i="1"/>
  <c r="R94" i="1"/>
  <c r="Q94" i="1"/>
  <c r="N94" i="1"/>
  <c r="R93" i="1"/>
  <c r="Q93" i="1"/>
  <c r="N93" i="1"/>
  <c r="R92" i="1"/>
  <c r="Q92" i="1"/>
  <c r="N92" i="1"/>
  <c r="R91" i="1"/>
  <c r="Q91" i="1"/>
  <c r="N91" i="1"/>
  <c r="R90" i="1"/>
  <c r="Q90" i="1"/>
  <c r="N90" i="1"/>
  <c r="R89" i="1"/>
  <c r="Q89" i="1"/>
  <c r="N89" i="1"/>
  <c r="C35" i="4" s="1"/>
  <c r="E35" i="4" s="1"/>
  <c r="R88" i="1"/>
  <c r="Q88" i="1"/>
  <c r="N88" i="1"/>
  <c r="R87" i="1"/>
  <c r="Q87" i="1"/>
  <c r="N87" i="1"/>
  <c r="R86" i="1"/>
  <c r="Q86" i="1"/>
  <c r="N86" i="1"/>
  <c r="R85" i="1"/>
  <c r="Q85" i="1"/>
  <c r="N85" i="1"/>
  <c r="R84" i="1"/>
  <c r="Q84" i="1"/>
  <c r="N84" i="1"/>
  <c r="R83" i="1"/>
  <c r="Q83" i="1"/>
  <c r="N83" i="1"/>
  <c r="R82" i="1"/>
  <c r="Q82" i="1"/>
  <c r="N82" i="1"/>
  <c r="R81" i="1"/>
  <c r="D25" i="3" s="1"/>
  <c r="Q81" i="1"/>
  <c r="N81" i="1"/>
  <c r="R80" i="1"/>
  <c r="Q80" i="1"/>
  <c r="N80" i="1"/>
  <c r="R79" i="1"/>
  <c r="Q79" i="1"/>
  <c r="N79" i="1"/>
  <c r="R78" i="1"/>
  <c r="Q78" i="1"/>
  <c r="N78" i="1"/>
  <c r="R77" i="1"/>
  <c r="Q77" i="1"/>
  <c r="N77" i="1"/>
  <c r="R76" i="1"/>
  <c r="Q76" i="1"/>
  <c r="N76" i="1"/>
  <c r="R75" i="1"/>
  <c r="Q75" i="1"/>
  <c r="N75" i="1"/>
  <c r="R74" i="1"/>
  <c r="Q74" i="1"/>
  <c r="N74" i="1"/>
  <c r="R73" i="1"/>
  <c r="Q73" i="1"/>
  <c r="N73" i="1"/>
  <c r="R72" i="1"/>
  <c r="Q72" i="1"/>
  <c r="N72" i="1"/>
  <c r="R71" i="1"/>
  <c r="Q71" i="1"/>
  <c r="N71" i="1"/>
  <c r="R70" i="1"/>
  <c r="Q70" i="1"/>
  <c r="N70" i="1"/>
  <c r="R69" i="1"/>
  <c r="Q69" i="1"/>
  <c r="N69" i="1"/>
  <c r="R68" i="1"/>
  <c r="Q68" i="1"/>
  <c r="G46" i="4" s="1"/>
  <c r="N68" i="1"/>
  <c r="R67" i="1"/>
  <c r="Q67" i="1"/>
  <c r="N67" i="1"/>
  <c r="R66" i="1"/>
  <c r="Q66" i="1"/>
  <c r="N66" i="1"/>
  <c r="R65" i="1"/>
  <c r="Q65" i="1"/>
  <c r="N65" i="1"/>
  <c r="C34" i="4" s="1"/>
  <c r="R64" i="1"/>
  <c r="Q64" i="1"/>
  <c r="N64" i="1"/>
  <c r="R63" i="1"/>
  <c r="Q63" i="1"/>
  <c r="N63" i="1"/>
  <c r="R62" i="1"/>
  <c r="Q62" i="1"/>
  <c r="N62" i="1"/>
  <c r="R61" i="1"/>
  <c r="Q61" i="1"/>
  <c r="N61" i="1"/>
  <c r="R60" i="1"/>
  <c r="Q60" i="1"/>
  <c r="N60" i="1"/>
  <c r="R59" i="1"/>
  <c r="Q59" i="1"/>
  <c r="N59" i="1"/>
  <c r="R58" i="1"/>
  <c r="Q58" i="1"/>
  <c r="N58" i="1"/>
  <c r="R57" i="1"/>
  <c r="Q57" i="1"/>
  <c r="N57" i="1"/>
  <c r="R56" i="1"/>
  <c r="Q56" i="1"/>
  <c r="G42" i="4" s="1"/>
  <c r="N56" i="1"/>
  <c r="R55" i="1"/>
  <c r="Q55" i="1"/>
  <c r="N55" i="1"/>
  <c r="R54" i="1"/>
  <c r="Q54" i="1"/>
  <c r="N54" i="1"/>
  <c r="R53" i="1"/>
  <c r="Q53" i="1"/>
  <c r="N53" i="1"/>
  <c r="R52" i="1"/>
  <c r="Q52" i="1"/>
  <c r="N52" i="1"/>
  <c r="R51" i="1"/>
  <c r="Q51" i="1"/>
  <c r="N51" i="1"/>
  <c r="R50" i="1"/>
  <c r="Q50" i="1"/>
  <c r="N50" i="1"/>
  <c r="R49" i="1"/>
  <c r="Q49" i="1"/>
  <c r="N49" i="1"/>
  <c r="R48" i="1"/>
  <c r="Q48" i="1"/>
  <c r="N48" i="1"/>
  <c r="R47" i="1"/>
  <c r="D13" i="3" s="1"/>
  <c r="Q47" i="1"/>
  <c r="N47" i="1"/>
  <c r="R46" i="1"/>
  <c r="Q46" i="1"/>
  <c r="N46" i="1"/>
  <c r="R45" i="1"/>
  <c r="Q45" i="1"/>
  <c r="N45" i="1"/>
  <c r="C33" i="4" s="1"/>
  <c r="E33" i="4" s="1"/>
  <c r="R44" i="1"/>
  <c r="Q44" i="1"/>
  <c r="N44" i="1"/>
  <c r="R43" i="1"/>
  <c r="D14" i="3" s="1"/>
  <c r="Q43" i="1"/>
  <c r="N43" i="1"/>
  <c r="R42" i="1"/>
  <c r="Q42" i="1"/>
  <c r="N42" i="1"/>
  <c r="R41" i="1"/>
  <c r="Q41" i="1"/>
  <c r="N41" i="1"/>
  <c r="R40" i="1"/>
  <c r="Q40" i="1"/>
  <c r="N40" i="1"/>
  <c r="R39" i="1"/>
  <c r="D27" i="3" s="1"/>
  <c r="Q39" i="1"/>
  <c r="N39" i="1"/>
  <c r="R38" i="1"/>
  <c r="Q38" i="1"/>
  <c r="N38" i="1"/>
  <c r="R37" i="1"/>
  <c r="Q37" i="1"/>
  <c r="N37" i="1"/>
  <c r="R36" i="1"/>
  <c r="Q36" i="1"/>
  <c r="N36" i="1"/>
  <c r="R35" i="1"/>
  <c r="Q35" i="1"/>
  <c r="N35" i="1"/>
  <c r="R34" i="1"/>
  <c r="Q34" i="1"/>
  <c r="N34" i="1"/>
  <c r="R33" i="1"/>
  <c r="D18" i="3" s="1"/>
  <c r="Q33" i="1"/>
  <c r="N33" i="1"/>
  <c r="R32" i="1"/>
  <c r="Q32" i="1"/>
  <c r="G48" i="4" s="1"/>
  <c r="N32" i="1"/>
  <c r="R31" i="1"/>
  <c r="D24" i="3" s="1"/>
  <c r="Q31" i="1"/>
  <c r="N31" i="1"/>
  <c r="R30" i="1"/>
  <c r="Q30" i="1"/>
  <c r="N30" i="1"/>
  <c r="R29" i="1"/>
  <c r="Q29" i="1"/>
  <c r="N29" i="1"/>
  <c r="R28" i="1"/>
  <c r="Q28" i="1"/>
  <c r="N28" i="1"/>
  <c r="R27" i="1"/>
  <c r="Q27" i="1"/>
  <c r="N27" i="1"/>
  <c r="R26" i="1"/>
  <c r="Q26" i="1"/>
  <c r="N26" i="1"/>
  <c r="R25" i="1"/>
  <c r="Q25" i="1"/>
  <c r="N25" i="1"/>
  <c r="R24" i="1"/>
  <c r="Q24" i="1"/>
  <c r="N24" i="1"/>
  <c r="R23" i="1"/>
  <c r="Q23" i="1"/>
  <c r="N23" i="1"/>
  <c r="R22" i="1"/>
  <c r="Q22" i="1"/>
  <c r="G50" i="4" s="1"/>
  <c r="N22" i="1"/>
  <c r="R21" i="1"/>
  <c r="D26" i="3" s="1"/>
  <c r="Q21" i="1"/>
  <c r="N21" i="1"/>
  <c r="C32" i="4" s="1"/>
  <c r="R20" i="1"/>
  <c r="Q20" i="1"/>
  <c r="N20" i="1"/>
  <c r="R19" i="1"/>
  <c r="D23" i="3" s="1"/>
  <c r="Q19" i="1"/>
  <c r="N19" i="1"/>
  <c r="R18" i="1"/>
  <c r="Q18" i="1"/>
  <c r="C25" i="3" s="1"/>
  <c r="F25" i="3" s="1"/>
  <c r="N18" i="1"/>
  <c r="R17" i="1"/>
  <c r="D19" i="3" s="1"/>
  <c r="Q17" i="1"/>
  <c r="N17" i="1"/>
  <c r="R16" i="1"/>
  <c r="Q16" i="1"/>
  <c r="C13" i="3" s="1"/>
  <c r="F13" i="3" s="1"/>
  <c r="N16" i="1"/>
  <c r="R15" i="1"/>
  <c r="D21" i="3" s="1"/>
  <c r="Q15" i="1"/>
  <c r="N15" i="1"/>
  <c r="R14" i="1"/>
  <c r="Q14" i="1"/>
  <c r="C27" i="3" s="1"/>
  <c r="F27" i="3" s="1"/>
  <c r="N14" i="1"/>
  <c r="R13" i="1"/>
  <c r="D16" i="3" s="1"/>
  <c r="Q13" i="1"/>
  <c r="N13" i="1"/>
  <c r="R12" i="1"/>
  <c r="Q12" i="1"/>
  <c r="N12" i="1"/>
  <c r="R11" i="1"/>
  <c r="D22" i="3" s="1"/>
  <c r="Q11" i="1"/>
  <c r="N11" i="1"/>
  <c r="R10" i="1"/>
  <c r="Q10" i="1"/>
  <c r="N10" i="1"/>
  <c r="R9" i="1"/>
  <c r="D17" i="3" s="1"/>
  <c r="Q9" i="1"/>
  <c r="N9" i="1"/>
  <c r="R8" i="1"/>
  <c r="Q8" i="1"/>
  <c r="C17" i="3" s="1"/>
  <c r="F17" i="3" s="1"/>
  <c r="N8" i="1"/>
  <c r="R7" i="1"/>
  <c r="D15" i="3" s="1"/>
  <c r="Q7" i="1"/>
  <c r="N7" i="1"/>
  <c r="R6" i="1"/>
  <c r="Q6" i="1"/>
  <c r="N6" i="1"/>
  <c r="R5" i="1"/>
  <c r="Q5" i="1"/>
  <c r="N5" i="1"/>
  <c r="R4" i="1"/>
  <c r="Q4" i="1"/>
  <c r="N4" i="1"/>
  <c r="R3" i="1"/>
  <c r="E59" i="4" s="1"/>
  <c r="E7" i="3" s="1"/>
  <c r="Q3" i="1"/>
  <c r="N3" i="1"/>
  <c r="C31" i="4" s="1"/>
  <c r="E31" i="4" s="1"/>
  <c r="R2" i="1"/>
  <c r="Q2" i="1"/>
  <c r="N2" i="1"/>
  <c r="F19" i="5"/>
  <c r="D19" i="5"/>
  <c r="B19" i="5"/>
  <c r="E18" i="5"/>
  <c r="C18" i="5"/>
  <c r="B18" i="5"/>
  <c r="F17" i="5"/>
  <c r="D17" i="5"/>
  <c r="B17" i="5"/>
  <c r="E16" i="5"/>
  <c r="C16" i="5"/>
  <c r="B16" i="5"/>
  <c r="F15" i="5"/>
  <c r="D15" i="5"/>
  <c r="B15" i="5"/>
  <c r="E14" i="5"/>
  <c r="C14" i="5"/>
  <c r="B14" i="5"/>
  <c r="F13" i="5"/>
  <c r="D13" i="5"/>
  <c r="B13" i="5"/>
  <c r="E12" i="5"/>
  <c r="C12" i="5"/>
  <c r="B12" i="5"/>
  <c r="F11" i="5"/>
  <c r="D11" i="5"/>
  <c r="B11" i="5"/>
  <c r="E10" i="5"/>
  <c r="C10" i="5"/>
  <c r="B10" i="5"/>
  <c r="F9" i="5"/>
  <c r="D9" i="5"/>
  <c r="B9" i="5"/>
  <c r="E8" i="5"/>
  <c r="C8" i="5"/>
  <c r="B8" i="5"/>
  <c r="F7" i="5"/>
  <c r="D7" i="5"/>
  <c r="B7" i="5"/>
  <c r="E6" i="5"/>
  <c r="C6" i="5"/>
  <c r="B6" i="5"/>
  <c r="F5" i="5"/>
  <c r="E5" i="5"/>
  <c r="D5" i="5"/>
  <c r="C5" i="5"/>
  <c r="B5" i="5"/>
  <c r="G15" i="5" l="1"/>
  <c r="H15" i="5"/>
  <c r="G13" i="5"/>
  <c r="H13" i="5"/>
  <c r="G7" i="5"/>
  <c r="H7" i="5"/>
  <c r="G11" i="5"/>
  <c r="H11" i="5"/>
  <c r="G58" i="4"/>
  <c r="G6" i="3" s="1"/>
  <c r="E58" i="4"/>
  <c r="E6" i="3" s="1"/>
  <c r="C58" i="4"/>
  <c r="C6" i="3" s="1"/>
  <c r="G51" i="4"/>
  <c r="C9" i="4"/>
  <c r="C24" i="3"/>
  <c r="F24" i="3" s="1"/>
  <c r="G41" i="4"/>
  <c r="C14" i="3"/>
  <c r="F14" i="3" s="1"/>
  <c r="G45" i="4"/>
  <c r="C18" i="3"/>
  <c r="F18" i="3" s="1"/>
  <c r="G53" i="4"/>
  <c r="C26" i="3"/>
  <c r="F26" i="3" s="1"/>
  <c r="D20" i="3"/>
  <c r="D7" i="4"/>
  <c r="G8" i="2" s="1"/>
  <c r="E32" i="4"/>
  <c r="E34" i="4"/>
  <c r="C7" i="4"/>
  <c r="F59" i="4"/>
  <c r="F7" i="3" s="1"/>
  <c r="G47" i="4"/>
  <c r="C15" i="3"/>
  <c r="F15" i="3" s="1"/>
  <c r="G49" i="4"/>
  <c r="G43" i="4"/>
  <c r="C21" i="3"/>
  <c r="F21" i="3" s="1"/>
  <c r="C19" i="3"/>
  <c r="F19" i="3" s="1"/>
  <c r="C23" i="3"/>
  <c r="F23" i="3" s="1"/>
  <c r="C36" i="4"/>
  <c r="E36" i="4" s="1"/>
  <c r="D9" i="4"/>
  <c r="G40" i="4"/>
  <c r="G44" i="4"/>
  <c r="G52" i="4"/>
  <c r="D58" i="4"/>
  <c r="D6" i="3" s="1"/>
  <c r="C59" i="4"/>
  <c r="C7" i="3" s="1"/>
  <c r="G59" i="4"/>
  <c r="G7" i="3" s="1"/>
  <c r="G54" i="4"/>
  <c r="F58" i="4"/>
  <c r="F6" i="3" s="1"/>
  <c r="C16" i="3"/>
  <c r="F16" i="3" s="1"/>
  <c r="C20" i="3"/>
  <c r="F20" i="3" s="1"/>
  <c r="C22" i="3"/>
  <c r="F22" i="3" s="1"/>
  <c r="D59" i="4"/>
  <c r="D7" i="3" s="1"/>
  <c r="G9" i="5" l="1"/>
  <c r="H9" i="5"/>
  <c r="C9" i="3"/>
  <c r="R8" i="2"/>
  <c r="H14" i="5"/>
  <c r="G14" i="5"/>
  <c r="H12" i="5"/>
  <c r="G12" i="5"/>
  <c r="H16" i="5"/>
  <c r="G16" i="5"/>
  <c r="G19" i="5"/>
  <c r="H19" i="5"/>
  <c r="G17" i="5"/>
  <c r="H17" i="5"/>
  <c r="G5" i="5"/>
  <c r="H5" i="5"/>
  <c r="H8" i="5"/>
  <c r="G8" i="5"/>
  <c r="H18" i="5"/>
  <c r="G18" i="5"/>
  <c r="H10" i="5"/>
  <c r="G10" i="5"/>
  <c r="H6" i="5"/>
  <c r="G6" i="5"/>
</calcChain>
</file>

<file path=xl/sharedStrings.xml><?xml version="1.0" encoding="utf-8"?>
<sst xmlns="http://schemas.openxmlformats.org/spreadsheetml/2006/main" count="1476" uniqueCount="470">
  <si>
    <t>Invoice Num</t>
  </si>
  <si>
    <t>Vendor</t>
  </si>
  <si>
    <t>Company</t>
  </si>
  <si>
    <t>Month</t>
  </si>
  <si>
    <t>Invoice Date</t>
  </si>
  <si>
    <t>Due Date</t>
  </si>
  <si>
    <t>Payment Date</t>
  </si>
  <si>
    <t>Status</t>
  </si>
  <si>
    <t>Invoice Amt USD</t>
  </si>
  <si>
    <t>Outstanding USD</t>
  </si>
  <si>
    <t>Days to Pay</t>
  </si>
  <si>
    <t>Aging Bucket</t>
  </si>
  <si>
    <t>Days Past Due</t>
  </si>
  <si>
    <t>Late Payment</t>
  </si>
  <si>
    <t>Disc Captured</t>
  </si>
  <si>
    <t>Disc Missed</t>
  </si>
  <si>
    <t>Blocked 30d</t>
  </si>
  <si>
    <t>In Review 15d</t>
  </si>
  <si>
    <t>Issue Type</t>
  </si>
  <si>
    <t>Urgency</t>
  </si>
  <si>
    <t>INV-1001</t>
  </si>
  <si>
    <t>Office Supply Co</t>
  </si>
  <si>
    <t>US01</t>
  </si>
  <si>
    <t>Jan-25</t>
  </si>
  <si>
    <t>2025-01-02</t>
  </si>
  <si>
    <t>2025-02-02</t>
  </si>
  <si>
    <t>2025-02-04</t>
  </si>
  <si>
    <t>Paid</t>
  </si>
  <si>
    <t>Current</t>
  </si>
  <si>
    <t>Yellow</t>
  </si>
  <si>
    <t>INV-1002</t>
  </si>
  <si>
    <t>Northside Transport</t>
  </si>
  <si>
    <t>US02</t>
  </si>
  <si>
    <t>2025-01-29</t>
  </si>
  <si>
    <t>INV-1003</t>
  </si>
  <si>
    <t>Continental Freight</t>
  </si>
  <si>
    <t>2025-01-11</t>
  </si>
  <si>
    <t>Partially Paid</t>
  </si>
  <si>
    <t>90+ Days</t>
  </si>
  <si>
    <t>Missed Discount</t>
  </si>
  <si>
    <t>Amber</t>
  </si>
  <si>
    <t>INV-1004</t>
  </si>
  <si>
    <t>2025-01-03</t>
  </si>
  <si>
    <t>2025-02-05</t>
  </si>
  <si>
    <t>2025-02-07</t>
  </si>
  <si>
    <t>INV-1005</t>
  </si>
  <si>
    <t>EuroFreight GmbH</t>
  </si>
  <si>
    <t>2025-01-07</t>
  </si>
  <si>
    <t>2025-01-21</t>
  </si>
  <si>
    <t>INV-1006</t>
  </si>
  <si>
    <t>IT Services Group</t>
  </si>
  <si>
    <t>2025-01-08</t>
  </si>
  <si>
    <t>2025-02-23</t>
  </si>
  <si>
    <t>INV-1007</t>
  </si>
  <si>
    <t>Logistics Partners</t>
  </si>
  <si>
    <t>2025-01-09</t>
  </si>
  <si>
    <t>2025-02-09</t>
  </si>
  <si>
    <t>2025-01-18</t>
  </si>
  <si>
    <t>INV-1008</t>
  </si>
  <si>
    <t>2025-01-15</t>
  </si>
  <si>
    <t>INV-1009</t>
  </si>
  <si>
    <t>West Coast Paper</t>
  </si>
  <si>
    <t>2025-01-25</t>
  </si>
  <si>
    <t>Blocked</t>
  </si>
  <si>
    <t>Blocked Over 30 Days</t>
  </si>
  <si>
    <t>Red</t>
  </si>
  <si>
    <t>INV-1010</t>
  </si>
  <si>
    <t>Suministros MX</t>
  </si>
  <si>
    <t>MX01</t>
  </si>
  <si>
    <t>2025-02-15</t>
  </si>
  <si>
    <t>INV-1011</t>
  </si>
  <si>
    <t>2025-01-16</t>
  </si>
  <si>
    <t>2025-02-01</t>
  </si>
  <si>
    <t>2025-01-30</t>
  </si>
  <si>
    <t>INV-1012</t>
  </si>
  <si>
    <t>Vendor One Foods</t>
  </si>
  <si>
    <t>2025-02-19</t>
  </si>
  <si>
    <t>2025-02-10</t>
  </si>
  <si>
    <t>INV-1013</t>
  </si>
  <si>
    <t>Cleaning Solutions</t>
  </si>
  <si>
    <t>2025-01-19</t>
  </si>
  <si>
    <t>2025-02-16</t>
  </si>
  <si>
    <t>INV-1014</t>
  </si>
  <si>
    <t>City Utilities</t>
  </si>
  <si>
    <t>2025-01-20</t>
  </si>
  <si>
    <t>INV-1015</t>
  </si>
  <si>
    <t>Fresh Beverages Inc</t>
  </si>
  <si>
    <t>2025-01-23</t>
  </si>
  <si>
    <t>INV-1016</t>
  </si>
  <si>
    <t>Metro Packaging</t>
  </si>
  <si>
    <t>2025-01-24</t>
  </si>
  <si>
    <t>2025-02-26</t>
  </si>
  <si>
    <t>INV-1017</t>
  </si>
  <si>
    <t>Alpha Facilities Mgmt</t>
  </si>
  <si>
    <t>US03</t>
  </si>
  <si>
    <t>INV-1018</t>
  </si>
  <si>
    <t>Packaging World</t>
  </si>
  <si>
    <t>In Review</t>
  </si>
  <si>
    <t>In Review Over 15 Days</t>
  </si>
  <si>
    <t>INV-1019</t>
  </si>
  <si>
    <t>2025-01-26</t>
  </si>
  <si>
    <t>2025-02-22</t>
  </si>
  <si>
    <t>INV-1020</t>
  </si>
  <si>
    <t>Feb-25</t>
  </si>
  <si>
    <t>2025-02-03</t>
  </si>
  <si>
    <t>2025-02-14</t>
  </si>
  <si>
    <t>INV-1021</t>
  </si>
  <si>
    <t>2025-03-07</t>
  </si>
  <si>
    <t>Voided</t>
  </si>
  <si>
    <t>Voided Invoice</t>
  </si>
  <si>
    <t>INV-1022</t>
  </si>
  <si>
    <t>INV-1023</t>
  </si>
  <si>
    <t>Overdue</t>
  </si>
  <si>
    <t>Overdue Invoice</t>
  </si>
  <si>
    <t>INV-1024</t>
  </si>
  <si>
    <t>2025-03-08</t>
  </si>
  <si>
    <t>2025-03-06</t>
  </si>
  <si>
    <t>INV-1025</t>
  </si>
  <si>
    <t>2025-02-27</t>
  </si>
  <si>
    <t>INV-1026</t>
  </si>
  <si>
    <t>2025-03-23</t>
  </si>
  <si>
    <t>2025-03-14</t>
  </si>
  <si>
    <t>INV-1027</t>
  </si>
  <si>
    <t>2025-02-06</t>
  </si>
  <si>
    <t>2025-03-09</t>
  </si>
  <si>
    <t>INV-1028</t>
  </si>
  <si>
    <t>2025-02-08</t>
  </si>
  <si>
    <t>2025-03-12</t>
  </si>
  <si>
    <t>INV-1029</t>
  </si>
  <si>
    <t>INV-1030</t>
  </si>
  <si>
    <t>2025-03-13</t>
  </si>
  <si>
    <t>2025-03-25</t>
  </si>
  <si>
    <t>INV-1031</t>
  </si>
  <si>
    <t>INV-1032</t>
  </si>
  <si>
    <t>2025-02-11</t>
  </si>
  <si>
    <t>INV-1033</t>
  </si>
  <si>
    <t>2025-02-13</t>
  </si>
  <si>
    <t>2025-03-16</t>
  </si>
  <si>
    <t>2025-03-11</t>
  </si>
  <si>
    <t>INV-1034</t>
  </si>
  <si>
    <t>2025-04-06</t>
  </si>
  <si>
    <t>61-90 Days</t>
  </si>
  <si>
    <t>INV-1035</t>
  </si>
  <si>
    <t>2025-03-22</t>
  </si>
  <si>
    <t>INV-1036</t>
  </si>
  <si>
    <t>2025-02-20</t>
  </si>
  <si>
    <t>INV-1037</t>
  </si>
  <si>
    <t>2025-02-21</t>
  </si>
  <si>
    <t>2025-03-10</t>
  </si>
  <si>
    <t>INV-1038</t>
  </si>
  <si>
    <t>2025-03-26</t>
  </si>
  <si>
    <t>INV-1039</t>
  </si>
  <si>
    <t>INV-1040</t>
  </si>
  <si>
    <t>2025-02-25</t>
  </si>
  <si>
    <t>2025-03-28</t>
  </si>
  <si>
    <t>INV-1041</t>
  </si>
  <si>
    <t>2025-03-29</t>
  </si>
  <si>
    <t>INV-1042</t>
  </si>
  <si>
    <t>2025-03-21</t>
  </si>
  <si>
    <t>INV-1043</t>
  </si>
  <si>
    <t>Mar-25</t>
  </si>
  <si>
    <t>2025-03-03</t>
  </si>
  <si>
    <t>2025-04-03</t>
  </si>
  <si>
    <t>INV-1044</t>
  </si>
  <si>
    <t>2025-04-09</t>
  </si>
  <si>
    <t>2025-04-21</t>
  </si>
  <si>
    <t>INV-1045</t>
  </si>
  <si>
    <t>INV-1046</t>
  </si>
  <si>
    <t>INV-1047</t>
  </si>
  <si>
    <t>INV-1048</t>
  </si>
  <si>
    <t>2025-04-10</t>
  </si>
  <si>
    <t>2025-03-18</t>
  </si>
  <si>
    <t>INV-1049</t>
  </si>
  <si>
    <t>2025-04-12</t>
  </si>
  <si>
    <t>2025-03-27</t>
  </si>
  <si>
    <t>INV-1050</t>
  </si>
  <si>
    <t>2025-04-13</t>
  </si>
  <si>
    <t>INV-1051</t>
  </si>
  <si>
    <t>2025-04-16</t>
  </si>
  <si>
    <t>INV-1052</t>
  </si>
  <si>
    <t>INV-1053</t>
  </si>
  <si>
    <t>INV-1054</t>
  </si>
  <si>
    <t>INV-1055</t>
  </si>
  <si>
    <t>2025-03-19</t>
  </si>
  <si>
    <t>2025-05-04</t>
  </si>
  <si>
    <t>31-60 Days</t>
  </si>
  <si>
    <t>INV-1056</t>
  </si>
  <si>
    <t>2025-04-23</t>
  </si>
  <si>
    <t>2025-04-28</t>
  </si>
  <si>
    <t>INV-1057</t>
  </si>
  <si>
    <t>2025-04-01</t>
  </si>
  <si>
    <t>INV-1058</t>
  </si>
  <si>
    <t>INV-1059</t>
  </si>
  <si>
    <t>2025-04-08</t>
  </si>
  <si>
    <t>INV-1060</t>
  </si>
  <si>
    <t>INV-1061</t>
  </si>
  <si>
    <t>2025-03-24</t>
  </si>
  <si>
    <t>INV-1062</t>
  </si>
  <si>
    <t>2025-04-11</t>
  </si>
  <si>
    <t>INV-1063</t>
  </si>
  <si>
    <t>INV-1064</t>
  </si>
  <si>
    <t>Apr-25</t>
  </si>
  <si>
    <t>2025-04-04</t>
  </si>
  <si>
    <t>2025-05-07</t>
  </si>
  <si>
    <t>INV-1065</t>
  </si>
  <si>
    <t>2025-04-17</t>
  </si>
  <si>
    <t>INV-1066</t>
  </si>
  <si>
    <t>2025-04-18</t>
  </si>
  <si>
    <t>INV-1067</t>
  </si>
  <si>
    <t>2025-04-05</t>
  </si>
  <si>
    <t>INV-1068</t>
  </si>
  <si>
    <t>INV-1069</t>
  </si>
  <si>
    <t>INV-1070</t>
  </si>
  <si>
    <t>2025-05-09</t>
  </si>
  <si>
    <t>INV-1071</t>
  </si>
  <si>
    <t>2025-04-15</t>
  </si>
  <si>
    <t>INV-1072</t>
  </si>
  <si>
    <t>2025-04-25</t>
  </si>
  <si>
    <t>INV-1073</t>
  </si>
  <si>
    <t>2025-05-10</t>
  </si>
  <si>
    <t>2025-05-21</t>
  </si>
  <si>
    <t>INV-1074</t>
  </si>
  <si>
    <t>2025-05-11</t>
  </si>
  <si>
    <t>2025-04-19</t>
  </si>
  <si>
    <t>INV-1075</t>
  </si>
  <si>
    <t>2025-04-14</t>
  </si>
  <si>
    <t>2025-05-15</t>
  </si>
  <si>
    <t>2025-05-05</t>
  </si>
  <si>
    <t>INV-1076</t>
  </si>
  <si>
    <t>2025-05-30</t>
  </si>
  <si>
    <t>INV-1077</t>
  </si>
  <si>
    <t>2025-05-16</t>
  </si>
  <si>
    <t>INV-1078</t>
  </si>
  <si>
    <t>2025-04-20</t>
  </si>
  <si>
    <t>2025-05-28</t>
  </si>
  <si>
    <t>INV-1079</t>
  </si>
  <si>
    <t>2025-06-05</t>
  </si>
  <si>
    <t>2025-05-24</t>
  </si>
  <si>
    <t>INV-1080</t>
  </si>
  <si>
    <t>2025-05-22</t>
  </si>
  <si>
    <t>INV-1081</t>
  </si>
  <si>
    <t>2025-04-22</t>
  </si>
  <si>
    <t>2025-05-23</t>
  </si>
  <si>
    <t>INV-1082</t>
  </si>
  <si>
    <t>INV-1083</t>
  </si>
  <si>
    <t>2025-05-08</t>
  </si>
  <si>
    <t>INV-1084</t>
  </si>
  <si>
    <t>INV-1085</t>
  </si>
  <si>
    <t>2025-05-13</t>
  </si>
  <si>
    <t>INV-1086</t>
  </si>
  <si>
    <t>2025-04-26</t>
  </si>
  <si>
    <t>2025-05-12</t>
  </si>
  <si>
    <t>INV-1087</t>
  </si>
  <si>
    <t>May-25</t>
  </si>
  <si>
    <t>INV-1088</t>
  </si>
  <si>
    <t>2025-05-06</t>
  </si>
  <si>
    <t>2025-06-06</t>
  </si>
  <si>
    <t>2025-06-15</t>
  </si>
  <si>
    <t>INV-1089</t>
  </si>
  <si>
    <t>2025-06-22</t>
  </si>
  <si>
    <t>0-30 Days</t>
  </si>
  <si>
    <t>INV-1090</t>
  </si>
  <si>
    <t>2025-06-08</t>
  </si>
  <si>
    <t>2025-06-12</t>
  </si>
  <si>
    <t>INV-1091</t>
  </si>
  <si>
    <t>2025-06-11</t>
  </si>
  <si>
    <t>2025-06-04</t>
  </si>
  <si>
    <t>INV-1092</t>
  </si>
  <si>
    <t>2025-06-19</t>
  </si>
  <si>
    <t>INV-1093</t>
  </si>
  <si>
    <t>2025-05-14</t>
  </si>
  <si>
    <t>2025-06-14</t>
  </si>
  <si>
    <t>INV-1094</t>
  </si>
  <si>
    <t>2025-07-03</t>
  </si>
  <si>
    <t>2025-05-27</t>
  </si>
  <si>
    <t>INV-1095</t>
  </si>
  <si>
    <t>2025-05-18</t>
  </si>
  <si>
    <t>2025-06-18</t>
  </si>
  <si>
    <t>2025-06-02</t>
  </si>
  <si>
    <t>INV-1096</t>
  </si>
  <si>
    <t>INV-1097</t>
  </si>
  <si>
    <t>INV-1098</t>
  </si>
  <si>
    <t>INV-1099</t>
  </si>
  <si>
    <t>2025-06-21</t>
  </si>
  <si>
    <t>INV-1100</t>
  </si>
  <si>
    <t>INV-1101</t>
  </si>
  <si>
    <t>2025-06-07</t>
  </si>
  <si>
    <t>INV-1102</t>
  </si>
  <si>
    <t>INV-1103</t>
  </si>
  <si>
    <t>INV-1104</t>
  </si>
  <si>
    <t>2025-06-25</t>
  </si>
  <si>
    <t>INV-1105</t>
  </si>
  <si>
    <t>2025-05-31</t>
  </si>
  <si>
    <t>INV-1106</t>
  </si>
  <si>
    <t>2025-05-25</t>
  </si>
  <si>
    <t>2025-06-01</t>
  </si>
  <si>
    <t>INV-1107</t>
  </si>
  <si>
    <t>2025-05-26</t>
  </si>
  <si>
    <t>INV-1108</t>
  </si>
  <si>
    <t>2025-06-26</t>
  </si>
  <si>
    <t>INV-1109</t>
  </si>
  <si>
    <t>Jun-25</t>
  </si>
  <si>
    <t>2025-06-17</t>
  </si>
  <si>
    <t>INV-1110</t>
  </si>
  <si>
    <t>2025-06-03</t>
  </si>
  <si>
    <t>INV-1111</t>
  </si>
  <si>
    <t>2025-07-20</t>
  </si>
  <si>
    <t>Open</t>
  </si>
  <si>
    <t>INV-1112</t>
  </si>
  <si>
    <t>2025-07-05</t>
  </si>
  <si>
    <t>INV-1113</t>
  </si>
  <si>
    <t>2025-07-09</t>
  </si>
  <si>
    <t>INV-1114</t>
  </si>
  <si>
    <t>INV-1115</t>
  </si>
  <si>
    <t>INV-1116</t>
  </si>
  <si>
    <t>2025-06-24</t>
  </si>
  <si>
    <t>INV-1117</t>
  </si>
  <si>
    <t>2025-06-09</t>
  </si>
  <si>
    <t>INV-1118</t>
  </si>
  <si>
    <t>2025-06-13</t>
  </si>
  <si>
    <t>2025-07-16</t>
  </si>
  <si>
    <t>INV-1119</t>
  </si>
  <si>
    <t>2025-07-18</t>
  </si>
  <si>
    <t>INV-1120</t>
  </si>
  <si>
    <t>2025-07-04</t>
  </si>
  <si>
    <t>INV-1121</t>
  </si>
  <si>
    <t>INV-1122</t>
  </si>
  <si>
    <t>INV-1123</t>
  </si>
  <si>
    <t>2025-06-20</t>
  </si>
  <si>
    <t>2025-07-23</t>
  </si>
  <si>
    <t>INV-1124</t>
  </si>
  <si>
    <t>INV-1125</t>
  </si>
  <si>
    <t>2025-07-08</t>
  </si>
  <si>
    <t>INV-1126</t>
  </si>
  <si>
    <t>2025-07-25</t>
  </si>
  <si>
    <t>INV-1127</t>
  </si>
  <si>
    <t>2025-07-26</t>
  </si>
  <si>
    <t>INV-1128</t>
  </si>
  <si>
    <t>2025-07-27</t>
  </si>
  <si>
    <t>INV-1129</t>
  </si>
  <si>
    <t>INV-1130</t>
  </si>
  <si>
    <t>AP Management Dashboard</t>
  </si>
  <si>
    <t>Accounts Payable Operations  ·  Jan – Jun 2025  ·  Project by Augusto Sander</t>
  </si>
  <si>
    <t>TOTAL OUTSTANDING (USD)</t>
  </si>
  <si>
    <t>ON-TIME PAYMENT RATE</t>
  </si>
  <si>
    <t>DISCOUNT CAPTURE RATE</t>
  </si>
  <si>
    <t>CRITICAL EXCEPTIONS</t>
  </si>
  <si>
    <t>"Target ≥ 85%"</t>
  </si>
  <si>
    <t>"Blocked 30d  ·  Voided  ·  In Review"</t>
  </si>
  <si>
    <t>Exceptions Detail</t>
  </si>
  <si>
    <t>Critical exception breakdown by type and company code  ·  14 total exceptions across 3 categories</t>
  </si>
  <si>
    <t xml:space="preserve">  ▸  BY EXCEPTION TYPE  ·  Company breakdown</t>
  </si>
  <si>
    <t>Exception Type</t>
  </si>
  <si>
    <t>Total</t>
  </si>
  <si>
    <t>What it means</t>
  </si>
  <si>
    <t>Blocked 30d+</t>
  </si>
  <si>
    <t>Invoice has been blocked from payment for 30+ days — requires urgent review</t>
  </si>
  <si>
    <t>In Review 15d+</t>
  </si>
  <si>
    <t>Invoice stuck in review queue for 15+ days — SLA breach</t>
  </si>
  <si>
    <t>Invoice voided — may indicate duplicate, error, or dispute</t>
  </si>
  <si>
    <t>TOTAL EXCEPTIONS</t>
  </si>
  <si>
    <t xml:space="preserve">  ▸  BY VENDOR  ·  Which vendors are driving exceptions</t>
  </si>
  <si>
    <t>Summary Tables — Excel Formula Engine</t>
  </si>
  <si>
    <t xml:space="preserve">  ► KPI METRICS</t>
  </si>
  <si>
    <t>Metric</t>
  </si>
  <si>
    <t>Excel Formula</t>
  </si>
  <si>
    <t>Result</t>
  </si>
  <si>
    <t>Total Outstanding (USD)</t>
  </si>
  <si>
    <t>Sum of all unpaid balances</t>
  </si>
  <si>
    <t>Unpaid Invoice Count</t>
  </si>
  <si>
    <t>Invoices with outstanding &gt; 0</t>
  </si>
  <si>
    <t>On-Time Payment Rate</t>
  </si>
  <si>
    <t>Paid invoices where late_payment_flag = FALSE</t>
  </si>
  <si>
    <t>Discount Capture Rate</t>
  </si>
  <si>
    <t>Captured ÷ (Captured + Missed)</t>
  </si>
  <si>
    <t>Critical Exceptions</t>
  </si>
  <si>
    <t>Blocked 30d + Voided + In Review 15d</t>
  </si>
  <si>
    <t>Total Missed Discount (USD)</t>
  </si>
  <si>
    <t>Used in KPI badge</t>
  </si>
  <si>
    <t xml:space="preserve">  ► AGING BREAKDOWN  —  source for Aging chart</t>
  </si>
  <si>
    <t xml:space="preserve">  ► DISCOUNT BY MONTH  —  source for Discount chart</t>
  </si>
  <si>
    <t>Captured USD</t>
  </si>
  <si>
    <t>Missed USD</t>
  </si>
  <si>
    <t xml:space="preserve">  ▸  ► ON-TIME RATE BY MONTH  —  source for Trend chart</t>
  </si>
  <si>
    <t>Paid On-Time</t>
  </si>
  <si>
    <t>Total Paid</t>
  </si>
  <si>
    <t>On-Time Rate %</t>
  </si>
  <si>
    <t xml:space="preserve">  ▸  ► VENDOR SUMMARY  —  source for Vendor Analysis tab</t>
  </si>
  <si>
    <t>Invoice Count</t>
  </si>
  <si>
    <t>Overdue Count</t>
  </si>
  <si>
    <t>Disc Missed USD</t>
  </si>
  <si>
    <t>Exceptions</t>
  </si>
  <si>
    <t xml:space="preserve">  ▸  ► EXCEPTIONS BREAKDOWN  —  source for Exceptions tab</t>
  </si>
  <si>
    <t>Total Count</t>
  </si>
  <si>
    <t>Vendor Analysis</t>
  </si>
  <si>
    <t>Outstanding balance, overdue exposure, and discount performance by vendor — sorted by outstanding balance (highest first)</t>
  </si>
  <si>
    <t>Risk Signal</t>
  </si>
  <si>
    <t>Dashboard Formulas &amp; Calculation Reference</t>
  </si>
  <si>
    <t>KPI / Metric</t>
  </si>
  <si>
    <t>Excel Formula (in Summary Tables)</t>
  </si>
  <si>
    <t>Source Column(s)</t>
  </si>
  <si>
    <t xml:space="preserve">  KPI METRICS</t>
  </si>
  <si>
    <t xml:space="preserve"> =SUM(AP_Invoices[Outstanding USD])</t>
  </si>
  <si>
    <t>outstanding_amount_usd
= max(invoice_amount_usd − amount_paid_usd, 0)
where both amounts are pre-converted to USD
via fx_rate_used</t>
  </si>
  <si>
    <t>See Summary Tables D5</t>
  </si>
  <si>
    <t xml:space="preserve"> =(COUNTIFS(AP_Invoices[Late Payment],FALSE(),AP_Invoices[Status],"Paid")
+COUNTIFS(AP_Invoices[Late Payment],FALSE(),AP_Invoices[Status],"Partially Paid"))
/(COUNTIF(AP_Invoices[Status],"Paid")
+COUNTIF(AP_Invoices[Status],"Partially Paid"))</t>
  </si>
  <si>
    <t>late_payment_flag
status</t>
  </si>
  <si>
    <t>See Summary Tables D7</t>
  </si>
  <si>
    <t xml:space="preserve"> =SUM(AP_Invoices[Disc Captured])
/(SUM(AP_Invoices[Disc Captured])+SUM(AP_Invoices[Disc Missed]))</t>
  </si>
  <si>
    <t>captured_discount_value
missed_discount_value</t>
  </si>
  <si>
    <t>See Summary Tables D8</t>
  </si>
  <si>
    <t xml:space="preserve"> =COUNTIF(AP_Invoices[Blocked 30d],TRUE())
+COUNTIF(AP_Invoices[Status],"Voided")
+COUNTIF(AP_Invoices[In Review 15d],TRUE())</t>
  </si>
  <si>
    <t>blocked_over_30_days
status
in_review_over_15_days</t>
  </si>
  <si>
    <t>See Summary Tables D9</t>
  </si>
  <si>
    <t xml:space="preserve">  CHART DATA</t>
  </si>
  <si>
    <t>Aging — Outstanding by Bucket</t>
  </si>
  <si>
    <t xml:space="preserve"> =SUMIF(AP_Invoices[Aging Bucket],&lt;bucket&gt;,AP_Invoices[Outstanding USD])
one formula per bucket row in Summary Tables C14:C18</t>
  </si>
  <si>
    <t>aging_bucket
outstanding_amount_usd</t>
  </si>
  <si>
    <t>Summary Tables C14:C18</t>
  </si>
  <si>
    <t>Discount — Captured by Month</t>
  </si>
  <si>
    <t xml:space="preserve"> =SUMIF(AP_Invoices[Month],&lt;month&gt;,AP_Invoices[Disc Captured])
one formula per month row in summary tables C22:C27</t>
  </si>
  <si>
    <t>posting_month_label
captured_discount_value</t>
  </si>
  <si>
    <t>Summary Tables C22:C27</t>
  </si>
  <si>
    <t>Discount — Missed by Month</t>
  </si>
  <si>
    <t xml:space="preserve"> =SUMIF(AP_Invoices[Month],&lt;month&gt;,AP_Invoices[Disc Missed])
one formula per month row in summary tables D22:D27</t>
  </si>
  <si>
    <t>posting_month_label
missed_discount_value</t>
  </si>
  <si>
    <t>Summary Tables D22:D27</t>
  </si>
  <si>
    <t xml:space="preserve">  DERIVED FLAGS (computed in Python — Stage 2)</t>
  </si>
  <si>
    <t>late_payment_flag</t>
  </si>
  <si>
    <t>TRUE when status = "Paid", payment_date is not null,
due_date is not null, and payment_date &gt; due_date.
Comparison is against due_date — not payment terms parsing.</t>
  </si>
  <si>
    <t>status
payment_date
due_date</t>
  </si>
  <si>
    <t>Boolean</t>
  </si>
  <si>
    <t>blocked_over_30_days</t>
  </si>
  <si>
    <t>TRUE when status = "Blocked" and
(snapshot_date − posting_date) &gt; 30 days.
Status is used rather than raw payment_block presence
because it more accurately reflects operational state.</t>
  </si>
  <si>
    <t>status
posting_date
snapshot_date</t>
  </si>
  <si>
    <t>in_review_over_15_days</t>
  </si>
  <si>
    <t>status = 'In Review'
AND days_open_as_of_snapshot &gt; 15</t>
  </si>
  <si>
    <t>status
days_open_as_of_snapshot</t>
  </si>
  <si>
    <t>aging_bucket</t>
  </si>
  <si>
    <t>Current    = not overdue as of the snapshot date
0-30 Days  = overdue; days_past_due between 1 and 30
31-60 Days = overdue; days_past_due between 31 and 60
61-90 Days = overdue; days_past_due between 61 and 90
90+ Days   = overdue; days_past_due greater than 90</t>
  </si>
  <si>
    <t>days_past_due
snapshot_date
due_date</t>
  </si>
  <si>
    <t>Categorical</t>
  </si>
  <si>
    <t>outstanding_amount_usd</t>
  </si>
  <si>
    <t>invoice_amount_usd  = invoice_amount × fx_rate_used
amount_paid_usd     = amount_paid × fx_rate_used
outstanding_amount_usd = max(invoice_amount_usd − amount_paid_usd, 0)
Rounded to 2 decimal places.</t>
  </si>
  <si>
    <t>invoice_amount
amount_paid
fx_rate_used</t>
  </si>
  <si>
    <t>Numeric USD</t>
  </si>
  <si>
    <t>is_overdue</t>
  </si>
  <si>
    <t>OR([@Status]="Overdue", [@Status]="Blocked",
[@Status]="In Review",
AND([@Status]="Partially Paid", [@[Days Past Due]]&gt;0))</t>
  </si>
  <si>
    <t>Status
Days Past Due</t>
  </si>
  <si>
    <t>Boolean — used in Vendor Overdue Count formulas</t>
  </si>
  <si>
    <t>Project Pipeline — End-to-End Data Flow</t>
  </si>
  <si>
    <t>Stage</t>
  </si>
  <si>
    <t>Description</t>
  </si>
  <si>
    <t>File / Reference</t>
  </si>
  <si>
    <t>STAGE 1</t>
  </si>
  <si>
    <t>Data Source — Raw AP Records</t>
  </si>
  <si>
    <t>Raw AP invoice records simulating an ERP export (SAP / Oracle structure).
130 invoices · 57 columns · Jan – Jun 2025
4 company codes (US01, US02, US03, MX01) · 15 vendors · 3 currencies (USD, EUR, MXN)
Includes invoice dates, due dates, payment dates, amounts, statuses, PO references.</t>
  </si>
  <si>
    <t>ap_invoices_raw.csv</t>
  </si>
  <si>
    <t>STAGE 2</t>
  </si>
  <si>
    <t>Python / Pandas — Data Transformation</t>
  </si>
  <si>
    <t>ap_pipeline.py  →  GitHub repo</t>
  </si>
  <si>
    <t>STAGE 3</t>
  </si>
  <si>
    <t>SQL — Business Questions on Clean Data</t>
  </si>
  <si>
    <t>SQL queries written against the Stage 2 cleaned dataset to answer AP business questions:
• Which vendors carry the highest outstanding balances and for how long?
• What is the on-time payment rate by company code and fiscal period?
• How much early-payment discount was lost and which vendors caused it?
• Which invoices are blocked, voided, or in review beyond SLA thresholds?
SQL runs on clean data — it answers questions, not transform raw data.
Results cross-validate the KPI numbers in this dashboard.</t>
  </si>
  <si>
    <t>ap_analysis.sql  →  GitHub repo</t>
  </si>
  <si>
    <t>STAGE 4</t>
  </si>
  <si>
    <t>Excel Dashboard — This Workbook</t>
  </si>
  <si>
    <t>Built with Python (openpyxl) to load the Data sheet, then Excel formulas do the work:
• SUMIF / COUNTIF / COUNTIFS in Summary Tables aggregate all metrics
• KPI cards on Dashboard reference Summary Tables via cell formulas
• Charts are built from Summary Tables ranges — no hardcoded values
• All formula logic documented in the Formulas &amp; Calculations tab</t>
  </si>
  <si>
    <t>AP_Management_Dashboard.xlsx</t>
  </si>
  <si>
    <t>Python script ingests the raw CSV and derives all calculated columns:
• days_to_pay = payment_date − posting_date
• outstanding_amount_usd = invoice_amount × fx_rate − amount_paid
• aging_bucket from days_past_due thresholds (Current / 0-30 / 31-60 / 61-90 / 90+)
• late_payment_flag, blocked_over_30_days, in_review_over_15_days
• discount_captured_calc, captured_discount_value, missed_discount_value
• urgency_level and issue_type classification
Outputs the clean row-level CSV loaded into the Data sheet of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</si>
</sst>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\$#,##0.00"/>
  </numFmts>
  <fonts count="42" x14ac:knownFonts="1">
    <font>
      <sz val="11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8"/>
      <name val="Calibri"/>
      <family val="2"/>
      <charset val="1"/>
    </font>
    <font>
      <sz val="24"/>
      <color theme="1"/>
      <name val="Calibri"/>
      <family val="2"/>
      <charset val="1"/>
    </font>
    <font>
      <b/>
      <sz val="24"/>
      <color rgb="FFFFFFFF"/>
      <name val="Calibri"/>
      <family val="2"/>
      <charset val="1"/>
    </font>
    <font>
      <sz val="24"/>
      <color rgb="FFB5D4F4"/>
      <name val="Calibri"/>
      <family val="2"/>
      <charset val="1"/>
    </font>
    <font>
      <i/>
      <sz val="8"/>
      <color rgb="FF666666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26"/>
      <color theme="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666666"/>
      <name val="Calibri"/>
      <family val="2"/>
      <charset val="1"/>
    </font>
    <font>
      <b/>
      <sz val="11"/>
      <color rgb="FF333333"/>
      <name val="Calibri"/>
      <family val="2"/>
      <charset val="1"/>
    </font>
    <font>
      <b/>
      <sz val="11"/>
      <color rgb="FFC0392B"/>
      <name val="Calibri"/>
      <family val="2"/>
      <charset val="1"/>
    </font>
    <font>
      <sz val="11"/>
      <color rgb="FF1A3A5C"/>
      <name val="Calibri"/>
      <family val="2"/>
      <charset val="1"/>
    </font>
    <font>
      <b/>
      <sz val="11"/>
      <color rgb="FF1A3A5C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C0392B"/>
      <name val="Calibri"/>
      <family val="2"/>
      <charset val="1"/>
    </font>
    <font>
      <sz val="11"/>
      <color rgb="FFB7770D"/>
      <name val="Calibri"/>
      <family val="2"/>
      <charset val="1"/>
    </font>
    <font>
      <sz val="11"/>
      <color rgb="FF185FA5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4"/>
      <color rgb="FF1A3A5C"/>
      <name val="Calibri"/>
      <family val="2"/>
      <charset val="1"/>
    </font>
    <font>
      <b/>
      <sz val="14"/>
      <color rgb="FF333333"/>
      <name val="Calibri"/>
      <family val="2"/>
      <charset val="1"/>
    </font>
    <font>
      <sz val="14"/>
      <color rgb="FF185FA5"/>
      <name val="Courier New"/>
      <family val="3"/>
      <charset val="1"/>
    </font>
    <font>
      <i/>
      <sz val="14"/>
      <color rgb="FF666666"/>
      <name val="Calibri"/>
      <family val="2"/>
      <charset val="1"/>
    </font>
    <font>
      <sz val="14"/>
      <color rgb="FF333333"/>
      <name val="Calibri"/>
      <family val="2"/>
      <charset val="1"/>
    </font>
    <font>
      <b/>
      <sz val="14"/>
      <color rgb="FF1E8449"/>
      <name val="Calibri"/>
      <family val="2"/>
      <charset val="1"/>
    </font>
    <font>
      <b/>
      <sz val="14"/>
      <color rgb="FFC0392B"/>
      <name val="Calibri"/>
      <family val="2"/>
      <charset val="1"/>
    </font>
    <font>
      <sz val="14"/>
      <color rgb="FF27AE60"/>
      <name val="Calibri"/>
      <family val="2"/>
      <charset val="1"/>
    </font>
    <font>
      <sz val="14"/>
      <color rgb="FF185FA5"/>
      <name val="Calibri"/>
      <family val="2"/>
      <charset val="1"/>
    </font>
    <font>
      <sz val="14"/>
      <color rgb="FF1A3A5C"/>
      <name val="Calibri"/>
      <family val="2"/>
      <charset val="1"/>
    </font>
    <font>
      <sz val="14"/>
      <color rgb="FFB7770D"/>
      <name val="Calibri"/>
      <family val="2"/>
      <charset val="1"/>
    </font>
    <font>
      <sz val="14"/>
      <color rgb="FFC0392B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2"/>
      <color rgb="FF333333"/>
      <name val="Calibri"/>
      <family val="2"/>
      <charset val="1"/>
    </font>
    <font>
      <sz val="12"/>
      <color rgb="FF185FA5"/>
      <name val="Courier New"/>
      <family val="3"/>
      <charset val="1"/>
    </font>
    <font>
      <sz val="12"/>
      <color rgb="FF333333"/>
      <name val="Calibri"/>
      <family val="2"/>
      <charset val="1"/>
    </font>
    <font>
      <sz val="12"/>
      <color rgb="FF185FA5"/>
      <name val="Calibri"/>
      <family val="2"/>
      <charset val="1"/>
    </font>
    <font>
      <i/>
      <sz val="14"/>
      <color rgb="FF185FA5"/>
      <name val="Calibri"/>
      <family val="2"/>
      <charset val="1"/>
    </font>
    <font>
      <b/>
      <sz val="14"/>
      <color rgb="FFB7770D"/>
      <name val="Calibri"/>
      <family val="2"/>
      <charset val="1"/>
    </font>
    <font>
      <b/>
      <sz val="14"/>
      <color rgb="FF185FA5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FFFFF"/>
        <bgColor rgb="FFF7F8FA"/>
      </patternFill>
    </fill>
    <fill>
      <patternFill patternType="solid">
        <fgColor rgb="FFF7F8FA"/>
        <bgColor rgb="FFF2F2F2"/>
      </patternFill>
    </fill>
    <fill>
      <patternFill patternType="solid">
        <fgColor rgb="FF92D050"/>
        <bgColor rgb="FFB3B3B3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1"/>
        <bgColor rgb="FF262626"/>
      </patternFill>
    </fill>
    <fill>
      <patternFill patternType="solid">
        <fgColor rgb="FF185FA5"/>
        <bgColor rgb="FF3A608D"/>
      </patternFill>
    </fill>
    <fill>
      <patternFill patternType="solid">
        <fgColor rgb="FFFDEDEC"/>
        <bgColor rgb="FFF2F2F2"/>
      </patternFill>
    </fill>
    <fill>
      <patternFill patternType="solid">
        <fgColor rgb="FFFEF9E7"/>
        <bgColor rgb="FFF7F8FA"/>
      </patternFill>
    </fill>
    <fill>
      <patternFill patternType="solid">
        <fgColor rgb="FFE6F1FB"/>
        <bgColor rgb="FFEBF5FB"/>
      </patternFill>
    </fill>
    <fill>
      <patternFill patternType="solid">
        <fgColor rgb="FF1E8449"/>
        <bgColor rgb="FF008000"/>
      </patternFill>
    </fill>
    <fill>
      <patternFill patternType="solid">
        <fgColor rgb="FFEAFAF1"/>
        <bgColor rgb="FFEBF5FB"/>
      </patternFill>
    </fill>
    <fill>
      <patternFill patternType="solid">
        <fgColor rgb="FFB7770D"/>
        <bgColor rgb="FFBA4D4A"/>
      </patternFill>
    </fill>
    <fill>
      <patternFill patternType="solid">
        <fgColor rgb="FFEBF5FB"/>
        <bgColor rgb="FFE6F1FB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2" xfId="0" applyFont="1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0" xfId="0" applyFill="1"/>
    <xf numFmtId="0" fontId="3" fillId="7" borderId="0" xfId="0" applyFont="1" applyFill="1"/>
    <xf numFmtId="0" fontId="0" fillId="3" borderId="0" xfId="0" applyFill="1"/>
    <xf numFmtId="0" fontId="9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1" fontId="12" fillId="9" borderId="1" xfId="0" applyNumberFormat="1" applyFont="1" applyFill="1" applyBorder="1" applyAlignment="1">
      <alignment horizontal="center" vertical="center" wrapText="1"/>
    </xf>
    <xf numFmtId="1" fontId="13" fillId="9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1" fontId="12" fillId="10" borderId="1" xfId="0" applyNumberFormat="1" applyFont="1" applyFill="1" applyBorder="1" applyAlignment="1">
      <alignment horizontal="center" vertical="center" wrapText="1"/>
    </xf>
    <xf numFmtId="1" fontId="13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1" fontId="12" fillId="11" borderId="1" xfId="0" applyNumberFormat="1" applyFont="1" applyFill="1" applyBorder="1" applyAlignment="1">
      <alignment horizontal="center" vertical="center" wrapText="1"/>
    </xf>
    <xf numFmtId="1" fontId="13" fillId="11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1" fontId="14" fillId="11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1" fontId="16" fillId="3" borderId="1" xfId="0" applyNumberFormat="1" applyFont="1" applyFill="1" applyBorder="1" applyAlignment="1">
      <alignment horizontal="center" vertical="center" wrapText="1"/>
    </xf>
    <xf numFmtId="1" fontId="17" fillId="3" borderId="1" xfId="0" applyNumberFormat="1" applyFont="1" applyFill="1" applyBorder="1" applyAlignment="1">
      <alignment horizontal="center" vertical="center" wrapText="1"/>
    </xf>
    <xf numFmtId="1" fontId="18" fillId="3" borderId="1" xfId="0" applyNumberFormat="1" applyFont="1" applyFill="1" applyBorder="1" applyAlignment="1">
      <alignment horizontal="center" vertical="center" wrapText="1"/>
    </xf>
    <xf numFmtId="1" fontId="12" fillId="3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1" fontId="16" fillId="4" borderId="1" xfId="0" applyNumberFormat="1" applyFont="1" applyFill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1" fontId="18" fillId="4" borderId="1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3" borderId="0" xfId="0" applyFont="1" applyFill="1"/>
    <xf numFmtId="0" fontId="21" fillId="11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 wrapText="1"/>
    </xf>
    <xf numFmtId="166" fontId="21" fillId="4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 wrapText="1"/>
    </xf>
    <xf numFmtId="1" fontId="21" fillId="3" borderId="1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165" fontId="21" fillId="4" borderId="1" xfId="0" applyNumberFormat="1" applyFont="1" applyFill="1" applyBorder="1" applyAlignment="1">
      <alignment horizontal="center" vertical="center"/>
    </xf>
    <xf numFmtId="165" fontId="21" fillId="3" borderId="1" xfId="0" applyNumberFormat="1" applyFont="1" applyFill="1" applyBorder="1" applyAlignment="1">
      <alignment horizontal="center" vertical="center"/>
    </xf>
    <xf numFmtId="1" fontId="21" fillId="4" borderId="1" xfId="0" applyNumberFormat="1" applyFont="1" applyFill="1" applyBorder="1" applyAlignment="1">
      <alignment horizontal="center" vertical="center"/>
    </xf>
    <xf numFmtId="166" fontId="21" fillId="3" borderId="1" xfId="0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left" vertical="center"/>
    </xf>
    <xf numFmtId="166" fontId="21" fillId="3" borderId="1" xfId="0" applyNumberFormat="1" applyFont="1" applyFill="1" applyBorder="1" applyAlignment="1">
      <alignment horizontal="right" vertical="center"/>
    </xf>
    <xf numFmtId="0" fontId="25" fillId="4" borderId="1" xfId="0" applyFont="1" applyFill="1" applyBorder="1" applyAlignment="1">
      <alignment horizontal="left" vertical="center"/>
    </xf>
    <xf numFmtId="166" fontId="21" fillId="4" borderId="1" xfId="0" applyNumberFormat="1" applyFont="1" applyFill="1" applyBorder="1" applyAlignment="1">
      <alignment horizontal="right" vertical="center"/>
    </xf>
    <xf numFmtId="0" fontId="25" fillId="3" borderId="1" xfId="0" applyFont="1" applyFill="1" applyBorder="1" applyAlignment="1">
      <alignment horizontal="center" vertical="center"/>
    </xf>
    <xf numFmtId="166" fontId="26" fillId="3" borderId="1" xfId="0" applyNumberFormat="1" applyFont="1" applyFill="1" applyBorder="1" applyAlignment="1">
      <alignment horizontal="right" vertical="center"/>
    </xf>
    <xf numFmtId="166" fontId="27" fillId="3" borderId="1" xfId="0" applyNumberFormat="1" applyFont="1" applyFill="1" applyBorder="1" applyAlignment="1">
      <alignment horizontal="right" vertical="center"/>
    </xf>
    <xf numFmtId="0" fontId="25" fillId="4" borderId="1" xfId="0" applyFont="1" applyFill="1" applyBorder="1" applyAlignment="1">
      <alignment horizontal="center" vertical="center"/>
    </xf>
    <xf numFmtId="166" fontId="26" fillId="4" borderId="1" xfId="0" applyNumberFormat="1" applyFont="1" applyFill="1" applyBorder="1" applyAlignment="1">
      <alignment horizontal="right" vertical="center"/>
    </xf>
    <xf numFmtId="166" fontId="27" fillId="4" borderId="1" xfId="0" applyNumberFormat="1" applyFont="1" applyFill="1" applyBorder="1" applyAlignment="1">
      <alignment horizontal="right" vertical="center"/>
    </xf>
    <xf numFmtId="0" fontId="20" fillId="8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1" fontId="28" fillId="3" borderId="1" xfId="0" applyNumberFormat="1" applyFont="1" applyFill="1" applyBorder="1" applyAlignment="1">
      <alignment horizontal="right" vertical="center" wrapText="1"/>
    </xf>
    <xf numFmtId="1" fontId="29" fillId="3" borderId="1" xfId="0" applyNumberFormat="1" applyFont="1" applyFill="1" applyBorder="1" applyAlignment="1">
      <alignment horizontal="right" vertical="center" wrapText="1"/>
    </xf>
    <xf numFmtId="165" fontId="21" fillId="3" borderId="1" xfId="0" applyNumberFormat="1" applyFont="1" applyFill="1" applyBorder="1" applyAlignment="1">
      <alignment horizontal="right" vertical="center" wrapText="1"/>
    </xf>
    <xf numFmtId="0" fontId="25" fillId="4" borderId="1" xfId="0" applyFont="1" applyFill="1" applyBorder="1" applyAlignment="1">
      <alignment horizontal="center" vertical="center" wrapText="1"/>
    </xf>
    <xf numFmtId="1" fontId="28" fillId="4" borderId="1" xfId="0" applyNumberFormat="1" applyFont="1" applyFill="1" applyBorder="1" applyAlignment="1">
      <alignment horizontal="right" vertical="center" wrapText="1"/>
    </xf>
    <xf numFmtId="1" fontId="29" fillId="4" borderId="1" xfId="0" applyNumberFormat="1" applyFont="1" applyFill="1" applyBorder="1" applyAlignment="1">
      <alignment horizontal="right" vertical="center" wrapText="1"/>
    </xf>
    <xf numFmtId="165" fontId="21" fillId="4" borderId="1" xfId="0" applyNumberFormat="1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horizontal="left" vertical="center" wrapText="1"/>
    </xf>
    <xf numFmtId="166" fontId="27" fillId="3" borderId="1" xfId="0" applyNumberFormat="1" applyFont="1" applyFill="1" applyBorder="1" applyAlignment="1">
      <alignment horizontal="right" vertical="center" wrapText="1"/>
    </xf>
    <xf numFmtId="1" fontId="30" fillId="3" borderId="1" xfId="0" applyNumberFormat="1" applyFont="1" applyFill="1" applyBorder="1" applyAlignment="1">
      <alignment horizontal="right" vertical="center" wrapText="1"/>
    </xf>
    <xf numFmtId="1" fontId="31" fillId="3" borderId="1" xfId="0" applyNumberFormat="1" applyFont="1" applyFill="1" applyBorder="1" applyAlignment="1">
      <alignment horizontal="right" vertical="center" wrapText="1"/>
    </xf>
    <xf numFmtId="166" fontId="32" fillId="3" borderId="1" xfId="0" applyNumberFormat="1" applyFont="1" applyFill="1" applyBorder="1" applyAlignment="1">
      <alignment horizontal="right" vertical="center" wrapText="1"/>
    </xf>
    <xf numFmtId="1" fontId="32" fillId="3" borderId="1" xfId="0" applyNumberFormat="1" applyFont="1" applyFill="1" applyBorder="1" applyAlignment="1">
      <alignment horizontal="right" vertical="center" wrapText="1"/>
    </xf>
    <xf numFmtId="0" fontId="22" fillId="4" borderId="1" xfId="0" applyFont="1" applyFill="1" applyBorder="1" applyAlignment="1">
      <alignment horizontal="left" vertical="center" wrapText="1"/>
    </xf>
    <xf numFmtId="166" fontId="27" fillId="4" borderId="1" xfId="0" applyNumberFormat="1" applyFont="1" applyFill="1" applyBorder="1" applyAlignment="1">
      <alignment horizontal="right" vertical="center" wrapText="1"/>
    </xf>
    <xf numFmtId="1" fontId="30" fillId="4" borderId="1" xfId="0" applyNumberFormat="1" applyFont="1" applyFill="1" applyBorder="1" applyAlignment="1">
      <alignment horizontal="right" vertical="center" wrapText="1"/>
    </xf>
    <xf numFmtId="1" fontId="31" fillId="4" borderId="1" xfId="0" applyNumberFormat="1" applyFont="1" applyFill="1" applyBorder="1" applyAlignment="1">
      <alignment horizontal="right" vertical="center" wrapText="1"/>
    </xf>
    <xf numFmtId="166" fontId="32" fillId="4" borderId="1" xfId="0" applyNumberFormat="1" applyFont="1" applyFill="1" applyBorder="1" applyAlignment="1">
      <alignment horizontal="right" vertical="center" wrapText="1"/>
    </xf>
    <xf numFmtId="1" fontId="32" fillId="4" borderId="1" xfId="0" applyNumberFormat="1" applyFont="1" applyFill="1" applyBorder="1" applyAlignment="1">
      <alignment horizontal="right" vertical="center" wrapText="1"/>
    </xf>
    <xf numFmtId="1" fontId="27" fillId="3" borderId="1" xfId="0" applyNumberFormat="1" applyFont="1" applyFill="1" applyBorder="1" applyAlignment="1">
      <alignment horizontal="center" vertical="center" wrapText="1"/>
    </xf>
    <xf numFmtId="1" fontId="30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1" fontId="27" fillId="4" borderId="1" xfId="0" applyNumberFormat="1" applyFont="1" applyFill="1" applyBorder="1" applyAlignment="1">
      <alignment horizontal="center" vertical="center" wrapText="1"/>
    </xf>
    <xf numFmtId="1" fontId="30" fillId="4" borderId="1" xfId="0" applyNumberFormat="1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1" fontId="31" fillId="3" borderId="1" xfId="0" applyNumberFormat="1" applyFont="1" applyFill="1" applyBorder="1" applyAlignment="1">
      <alignment horizontal="center" vertical="center" wrapText="1"/>
    </xf>
    <xf numFmtId="49" fontId="32" fillId="3" borderId="1" xfId="0" applyNumberFormat="1" applyFont="1" applyFill="1" applyBorder="1" applyAlignment="1">
      <alignment horizontal="left" vertical="center" wrapText="1"/>
    </xf>
    <xf numFmtId="1" fontId="31" fillId="4" borderId="1" xfId="0" applyNumberFormat="1" applyFont="1" applyFill="1" applyBorder="1" applyAlignment="1">
      <alignment horizontal="center" vertical="center" wrapText="1"/>
    </xf>
    <xf numFmtId="49" fontId="32" fillId="4" borderId="1" xfId="0" applyNumberFormat="1" applyFont="1" applyFill="1" applyBorder="1" applyAlignment="1">
      <alignment horizontal="left" vertical="center" wrapText="1"/>
    </xf>
    <xf numFmtId="0" fontId="33" fillId="0" borderId="0" xfId="0" applyFont="1"/>
    <xf numFmtId="0" fontId="33" fillId="3" borderId="0" xfId="0" applyFont="1" applyFill="1"/>
    <xf numFmtId="0" fontId="34" fillId="8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left" vertical="center" wrapText="1"/>
    </xf>
    <xf numFmtId="0" fontId="36" fillId="4" borderId="1" xfId="0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horizontal="left" vertical="center" wrapText="1"/>
    </xf>
    <xf numFmtId="0" fontId="38" fillId="4" borderId="1" xfId="0" applyFont="1" applyFill="1" applyBorder="1" applyAlignment="1">
      <alignment horizontal="left" vertical="center" wrapText="1"/>
    </xf>
    <xf numFmtId="0" fontId="35" fillId="3" borderId="1" xfId="0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left" vertical="center" wrapText="1"/>
    </xf>
    <xf numFmtId="0" fontId="37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left" vertical="center" wrapText="1"/>
    </xf>
    <xf numFmtId="0" fontId="19" fillId="2" borderId="0" xfId="0" applyFont="1" applyFill="1"/>
    <xf numFmtId="0" fontId="25" fillId="11" borderId="1" xfId="0" applyFont="1" applyFill="1" applyBorder="1" applyAlignment="1">
      <alignment horizontal="left" vertical="top" wrapText="1"/>
    </xf>
    <xf numFmtId="0" fontId="39" fillId="11" borderId="1" xfId="0" applyFont="1" applyFill="1" applyBorder="1" applyAlignment="1">
      <alignment horizontal="left" vertical="top" wrapText="1"/>
    </xf>
    <xf numFmtId="0" fontId="25" fillId="13" borderId="1" xfId="0" applyFont="1" applyFill="1" applyBorder="1" applyAlignment="1">
      <alignment horizontal="left" vertical="top" wrapText="1"/>
    </xf>
    <xf numFmtId="0" fontId="39" fillId="13" borderId="1" xfId="0" applyFont="1" applyFill="1" applyBorder="1" applyAlignment="1">
      <alignment horizontal="left" vertical="top" wrapText="1"/>
    </xf>
    <xf numFmtId="0" fontId="25" fillId="10" borderId="1" xfId="0" applyFont="1" applyFill="1" applyBorder="1" applyAlignment="1">
      <alignment horizontal="left" vertical="top" wrapText="1"/>
    </xf>
    <xf numFmtId="0" fontId="39" fillId="10" borderId="1" xfId="0" applyFont="1" applyFill="1" applyBorder="1" applyAlignment="1">
      <alignment horizontal="left" vertical="top" wrapText="1"/>
    </xf>
    <xf numFmtId="0" fontId="25" fillId="15" borderId="1" xfId="0" applyFont="1" applyFill="1" applyBorder="1" applyAlignment="1">
      <alignment horizontal="left" vertical="top" wrapText="1"/>
    </xf>
    <xf numFmtId="0" fontId="39" fillId="15" borderId="1" xfId="0" applyFont="1" applyFill="1" applyBorder="1" applyAlignment="1">
      <alignment horizontal="left" vertical="top" wrapText="1"/>
    </xf>
    <xf numFmtId="0" fontId="34" fillId="2" borderId="0" xfId="0" applyFont="1" applyFill="1" applyAlignment="1">
      <alignment horizontal="left" vertical="center"/>
    </xf>
    <xf numFmtId="0" fontId="34" fillId="2" borderId="6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164" fontId="8" fillId="7" borderId="4" xfId="0" applyNumberFormat="1" applyFont="1" applyFill="1" applyBorder="1" applyAlignment="1">
      <alignment horizontal="center" vertical="center"/>
    </xf>
    <xf numFmtId="165" fontId="8" fillId="7" borderId="4" xfId="0" applyNumberFormat="1" applyFont="1" applyFill="1" applyBorder="1" applyAlignment="1">
      <alignment horizontal="center" vertical="center"/>
    </xf>
    <xf numFmtId="1" fontId="8" fillId="7" borderId="4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20" fillId="8" borderId="6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0" fillId="14" borderId="2" xfId="0" applyFont="1" applyFill="1" applyBorder="1" applyAlignment="1">
      <alignment horizontal="center" vertical="center"/>
    </xf>
    <xf numFmtId="0" fontId="40" fillId="10" borderId="6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center" vertical="center"/>
    </xf>
    <xf numFmtId="0" fontId="41" fillId="15" borderId="6" xfId="0" applyFont="1" applyFill="1" applyBorder="1" applyAlignment="1">
      <alignment horizontal="left" vertical="center"/>
    </xf>
    <xf numFmtId="0" fontId="20" fillId="2" borderId="2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left" vertical="center"/>
    </xf>
    <xf numFmtId="0" fontId="20" fillId="12" borderId="2" xfId="0" applyFont="1" applyFill="1" applyBorder="1" applyAlignment="1">
      <alignment horizontal="center" vertical="center"/>
    </xf>
    <xf numFmtId="0" fontId="26" fillId="1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B7770D"/>
      <rgbColor rgb="FF800080"/>
      <rgbColor rgb="FF1E8449"/>
      <rgbColor rgb="FFBFBFBF"/>
      <rgbColor rgb="FF4F81BD"/>
      <rgbColor rgb="FF9999FF"/>
      <rgbColor rgb="FF8F3B39"/>
      <rgbColor rgb="FFFEF9E7"/>
      <rgbColor rgb="FFEAFAF1"/>
      <rgbColor rgb="FF660066"/>
      <rgbColor rgb="FFFF8080"/>
      <rgbColor rgb="FF185FA5"/>
      <rgbColor rgb="FFB5D4F4"/>
      <rgbColor rgb="FF000080"/>
      <rgbColor rgb="FFFF00FF"/>
      <rgbColor rgb="FFF7F8FA"/>
      <rgbColor rgb="FF00FFFF"/>
      <rgbColor rgb="FF800080"/>
      <rgbColor rgb="FF800000"/>
      <rgbColor rgb="FF3A608D"/>
      <rgbColor rgb="FF0000FF"/>
      <rgbColor rgb="FF00CCFF"/>
      <rgbColor rgb="FFE6F1FB"/>
      <rgbColor rgb="FFEBF5FB"/>
      <rgbColor rgb="FFFDEDEC"/>
      <rgbColor rgb="FF99CCFF"/>
      <rgbColor rgb="FFD9D9D9"/>
      <rgbColor rgb="FFCCCCCC"/>
      <rgbColor rgb="FFFCD5B5"/>
      <rgbColor rgb="FF4C7DB7"/>
      <rgbColor rgb="FF5DADE2"/>
      <rgbColor rgb="FF92D050"/>
      <rgbColor rgb="FFFFCC00"/>
      <rgbColor rgb="FFF39C12"/>
      <rgbColor rgb="FFE74C3C"/>
      <rgbColor rgb="FF666666"/>
      <rgbColor rgb="FFB3B3B3"/>
      <rgbColor rgb="FF1A3A5C"/>
      <rgbColor rgb="FF27AE60"/>
      <rgbColor rgb="FF595959"/>
      <rgbColor rgb="FF262626"/>
      <rgbColor rgb="FFC0392B"/>
      <rgbColor rgb="FFBA4D4A"/>
      <rgbColor rgb="FF40404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92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2">
                <a:solidFill>
                  <a:srgbClr val="F2F2F2"/>
                </a:solidFill>
                <a:latin typeface="Calibri"/>
              </a:rPr>
              <a:t>Outstanding Balance by Aging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Tables'!$C$13</c:f>
              <c:strCache>
                <c:ptCount val="1"/>
                <c:pt idx="0">
                  <c:v>Outstanding USD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770-4E95-83E5-4CB2BD663DF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770-4E95-83E5-4CB2BD663DF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770-4E95-83E5-4CB2BD663DF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770-4E95-83E5-4CB2BD663DF2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770-4E95-83E5-4CB2BD663DF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70-4E95-83E5-4CB2BD663DF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70-4E95-83E5-4CB2BD663DF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70-4E95-83E5-4CB2BD663DF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70-4E95-83E5-4CB2BD663DF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770-4E95-83E5-4CB2BD663D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Tables'!$B$14:$B$18</c:f>
              <c:strCache>
                <c:ptCount val="5"/>
                <c:pt idx="0">
                  <c:v>Current</c:v>
                </c:pt>
                <c:pt idx="1">
                  <c:v>0-30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</c:strCache>
            </c:strRef>
          </c:cat>
          <c:val>
            <c:numRef>
              <c:f>'Summary Tables'!$C$14:$C$18</c:f>
              <c:numCache>
                <c:formatCode>\$#,##0.00</c:formatCode>
                <c:ptCount val="5"/>
                <c:pt idx="0">
                  <c:v>22996.670000000002</c:v>
                </c:pt>
                <c:pt idx="1">
                  <c:v>8047.98</c:v>
                </c:pt>
                <c:pt idx="2">
                  <c:v>13989.009999999998</c:v>
                </c:pt>
                <c:pt idx="3">
                  <c:v>21000.230000000003</c:v>
                </c:pt>
                <c:pt idx="4">
                  <c:v>11386.73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70-4E95-83E5-4CB2BD663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6649970"/>
        <c:axId val="36960023"/>
      </c:barChart>
      <c:catAx>
        <c:axId val="7664997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US" sz="12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rPr lang="en-US" sz="1200" b="1" strike="noStrike" spc="-1">
                    <a:solidFill>
                      <a:srgbClr val="D9D9D9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36960023"/>
        <c:crosses val="autoZero"/>
        <c:auto val="1"/>
        <c:lblAlgn val="ctr"/>
        <c:lblOffset val="100"/>
        <c:noMultiLvlLbl val="0"/>
      </c:catAx>
      <c:valAx>
        <c:axId val="36960023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766499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92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2">
                <a:solidFill>
                  <a:srgbClr val="F2F2F2"/>
                </a:solidFill>
                <a:latin typeface="Calibri"/>
              </a:rPr>
              <a:t>Discount Captured vs. Missed —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Tables'!$C$21</c:f>
              <c:strCache>
                <c:ptCount val="1"/>
                <c:pt idx="0">
                  <c:v>Captured USD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Tables'!$B$22:$B$27</c:f>
              <c:strCache>
                <c:ptCount val="6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</c:strCache>
            </c:strRef>
          </c:cat>
          <c:val>
            <c:numRef>
              <c:f>'Summary Tables'!$C$22:$C$27</c:f>
              <c:numCache>
                <c:formatCode>\$#,##0.00</c:formatCode>
                <c:ptCount val="6"/>
                <c:pt idx="0">
                  <c:v>19.260000000000002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B-43F3-894C-20C9C63E10B1}"/>
            </c:ext>
          </c:extLst>
        </c:ser>
        <c:ser>
          <c:idx val="1"/>
          <c:order val="1"/>
          <c:tx>
            <c:strRef>
              <c:f>'Summary Tables'!$D$21</c:f>
              <c:strCache>
                <c:ptCount val="1"/>
                <c:pt idx="0">
                  <c:v>Missed USD</c:v>
                </c:pt>
              </c:strCache>
            </c:strRef>
          </c:tx>
          <c:spPr>
            <a:gradFill>
              <a:gsLst>
                <a:gs pos="0">
                  <a:srgbClr val="8F3B39"/>
                </a:gs>
                <a:gs pos="80000">
                  <a:srgbClr val="BA4D4A"/>
                </a:gs>
                <a:gs pos="100000">
                  <a:srgbClr val="BA4D4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Tables'!$B$22:$B$27</c:f>
              <c:strCache>
                <c:ptCount val="6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</c:strCache>
            </c:strRef>
          </c:cat>
          <c:val>
            <c:numRef>
              <c:f>'Summary Tables'!$D$22:$D$27</c:f>
              <c:numCache>
                <c:formatCode>\$#,##0.00</c:formatCode>
                <c:ptCount val="6"/>
                <c:pt idx="0">
                  <c:v>130.26999999999998</c:v>
                </c:pt>
                <c:pt idx="1">
                  <c:v>82.49</c:v>
                </c:pt>
                <c:pt idx="2">
                  <c:v>85.69</c:v>
                </c:pt>
                <c:pt idx="3">
                  <c:v>80.819999999999993</c:v>
                </c:pt>
                <c:pt idx="4">
                  <c:v>115.21000000000001</c:v>
                </c:pt>
                <c:pt idx="5">
                  <c:v>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B-43F3-894C-20C9C63E1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67961"/>
        <c:axId val="62869296"/>
      </c:barChart>
      <c:catAx>
        <c:axId val="153679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62869296"/>
        <c:crosses val="autoZero"/>
        <c:auto val="1"/>
        <c:lblAlgn val="ctr"/>
        <c:lblOffset val="100"/>
        <c:noMultiLvlLbl val="0"/>
      </c:catAx>
      <c:valAx>
        <c:axId val="62869296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2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rPr lang="en-US" sz="1200" b="1" strike="noStrike" spc="-1">
                    <a:solidFill>
                      <a:srgbClr val="D9D9D9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153679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50" b="0" strike="noStrike" spc="-1">
              <a:solidFill>
                <a:srgbClr val="D9D9D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D9D9D9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D9D9D9"/>
                </a:solidFill>
                <a:latin typeface="Calibri"/>
              </a:rPr>
              <a:t>On-Time Payment Rate — Monthly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Tables'!$E$30</c:f>
              <c:strCache>
                <c:ptCount val="1"/>
                <c:pt idx="0">
                  <c:v>On-Time Rate %</c:v>
                </c:pt>
              </c:strCache>
            </c:strRef>
          </c:tx>
          <c:spPr>
            <a:ln w="2232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BFBFBF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Tables'!$B$31:$B$36</c:f>
              <c:strCache>
                <c:ptCount val="6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</c:strCache>
            </c:strRef>
          </c:cat>
          <c:val>
            <c:numRef>
              <c:f>'Summary Tables'!$E$31:$E$36</c:f>
              <c:numCache>
                <c:formatCode>0.0%</c:formatCode>
                <c:ptCount val="6"/>
                <c:pt idx="0">
                  <c:v>0.8571428571428571</c:v>
                </c:pt>
                <c:pt idx="1">
                  <c:v>0.91666666666666663</c:v>
                </c:pt>
                <c:pt idx="2">
                  <c:v>0.66666666666666663</c:v>
                </c:pt>
                <c:pt idx="3">
                  <c:v>0.75</c:v>
                </c:pt>
                <c:pt idx="4">
                  <c:v>0.76923076923076927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25-4ADD-A3F4-E973B3328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991465"/>
        <c:axId val="22435843"/>
      </c:lineChart>
      <c:catAx>
        <c:axId val="76991465"/>
        <c:scaling>
          <c:orientation val="minMax"/>
        </c:scaling>
        <c:delete val="0"/>
        <c:axPos val="b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900" b="1" strike="noStrike" spc="-1">
                    <a:solidFill>
                      <a:srgbClr val="BFBFBF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BFBFBF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n-US"/>
          </a:p>
        </c:txPr>
        <c:crossAx val="22435843"/>
        <c:crosses val="autoZero"/>
        <c:auto val="1"/>
        <c:lblAlgn val="ctr"/>
        <c:lblOffset val="100"/>
        <c:noMultiLvlLbl val="0"/>
      </c:catAx>
      <c:valAx>
        <c:axId val="2243584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BFBFBF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BFBFBF"/>
                    </a:solidFill>
                    <a:latin typeface="Calibri"/>
                  </a:rPr>
                  <a:t>On-Time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n-US"/>
          </a:p>
        </c:txPr>
        <c:crossAx val="76991465"/>
        <c:crosses val="min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BFBFBF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40404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Exceptions by Vendor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'Exceptions Detail'!$C$12</c:f>
              <c:strCache>
                <c:ptCount val="1"/>
                <c:pt idx="0">
                  <c:v>Blocked 30d+</c:v>
                </c:pt>
              </c:strCache>
            </c:strRef>
          </c:tx>
          <c:spPr>
            <a:solidFill>
              <a:srgbClr val="E74C3C"/>
            </a:solidFill>
            <a:ln w="0">
              <a:solidFill>
                <a:srgbClr val="E74C3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'Exceptions Detail'!$B$13:$B$27</c:f>
              <c:strCache>
                <c:ptCount val="15"/>
                <c:pt idx="0">
                  <c:v>Fresh Beverages Inc</c:v>
                </c:pt>
                <c:pt idx="1">
                  <c:v>Continental Freight</c:v>
                </c:pt>
                <c:pt idx="2">
                  <c:v>IT Services Group</c:v>
                </c:pt>
                <c:pt idx="3">
                  <c:v>Vendor One Foods</c:v>
                </c:pt>
                <c:pt idx="4">
                  <c:v>Logistics Partners</c:v>
                </c:pt>
                <c:pt idx="5">
                  <c:v>EuroFreight GmbH</c:v>
                </c:pt>
                <c:pt idx="6">
                  <c:v>Metro Packaging</c:v>
                </c:pt>
                <c:pt idx="7">
                  <c:v>Northside Transport</c:v>
                </c:pt>
                <c:pt idx="8">
                  <c:v>City Utilities</c:v>
                </c:pt>
                <c:pt idx="9">
                  <c:v>Suministros MX</c:v>
                </c:pt>
                <c:pt idx="10">
                  <c:v>Packaging World</c:v>
                </c:pt>
                <c:pt idx="11">
                  <c:v>Office Supply Co</c:v>
                </c:pt>
                <c:pt idx="12">
                  <c:v>Alpha Facilities Mgmt</c:v>
                </c:pt>
                <c:pt idx="13">
                  <c:v>West Coast Paper</c:v>
                </c:pt>
                <c:pt idx="14">
                  <c:v>Cleaning Solutions</c:v>
                </c:pt>
              </c:strCache>
            </c:strRef>
          </c:cat>
          <c:val>
            <c:numRef>
              <c:f>'Exceptions Detail'!$C$13:$C$27</c:f>
              <c:numCache>
                <c:formatCode>0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3-4411-AAAE-00E5AEE5ACEC}"/>
            </c:ext>
          </c:extLst>
        </c:ser>
        <c:ser>
          <c:idx val="1"/>
          <c:order val="1"/>
          <c:tx>
            <c:strRef>
              <c:f>'Exceptions Detail'!$D$12</c:f>
              <c:strCache>
                <c:ptCount val="1"/>
                <c:pt idx="0">
                  <c:v>In Review 15d+</c:v>
                </c:pt>
              </c:strCache>
            </c:strRef>
          </c:tx>
          <c:spPr>
            <a:solidFill>
              <a:srgbClr val="F39C12"/>
            </a:solidFill>
            <a:ln w="0">
              <a:solidFill>
                <a:srgbClr val="F39C1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'Exceptions Detail'!$B$13:$B$27</c:f>
              <c:strCache>
                <c:ptCount val="15"/>
                <c:pt idx="0">
                  <c:v>Fresh Beverages Inc</c:v>
                </c:pt>
                <c:pt idx="1">
                  <c:v>Continental Freight</c:v>
                </c:pt>
                <c:pt idx="2">
                  <c:v>IT Services Group</c:v>
                </c:pt>
                <c:pt idx="3">
                  <c:v>Vendor One Foods</c:v>
                </c:pt>
                <c:pt idx="4">
                  <c:v>Logistics Partners</c:v>
                </c:pt>
                <c:pt idx="5">
                  <c:v>EuroFreight GmbH</c:v>
                </c:pt>
                <c:pt idx="6">
                  <c:v>Metro Packaging</c:v>
                </c:pt>
                <c:pt idx="7">
                  <c:v>Northside Transport</c:v>
                </c:pt>
                <c:pt idx="8">
                  <c:v>City Utilities</c:v>
                </c:pt>
                <c:pt idx="9">
                  <c:v>Suministros MX</c:v>
                </c:pt>
                <c:pt idx="10">
                  <c:v>Packaging World</c:v>
                </c:pt>
                <c:pt idx="11">
                  <c:v>Office Supply Co</c:v>
                </c:pt>
                <c:pt idx="12">
                  <c:v>Alpha Facilities Mgmt</c:v>
                </c:pt>
                <c:pt idx="13">
                  <c:v>West Coast Paper</c:v>
                </c:pt>
                <c:pt idx="14">
                  <c:v>Cleaning Solutions</c:v>
                </c:pt>
              </c:strCache>
            </c:strRef>
          </c:cat>
          <c:val>
            <c:numRef>
              <c:f>'Exceptions Detail'!$D$13:$D$27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3-4411-AAAE-00E5AEE5ACEC}"/>
            </c:ext>
          </c:extLst>
        </c:ser>
        <c:ser>
          <c:idx val="2"/>
          <c:order val="2"/>
          <c:tx>
            <c:strRef>
              <c:f>'Exceptions Detail'!$E$12</c:f>
              <c:strCache>
                <c:ptCount val="1"/>
                <c:pt idx="0">
                  <c:v>Voided</c:v>
                </c:pt>
              </c:strCache>
            </c:strRef>
          </c:tx>
          <c:spPr>
            <a:solidFill>
              <a:srgbClr val="5DADE2"/>
            </a:solidFill>
            <a:ln w="0">
              <a:solidFill>
                <a:srgbClr val="5DADE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'Exceptions Detail'!$B$13:$B$27</c:f>
              <c:strCache>
                <c:ptCount val="15"/>
                <c:pt idx="0">
                  <c:v>Fresh Beverages Inc</c:v>
                </c:pt>
                <c:pt idx="1">
                  <c:v>Continental Freight</c:v>
                </c:pt>
                <c:pt idx="2">
                  <c:v>IT Services Group</c:v>
                </c:pt>
                <c:pt idx="3">
                  <c:v>Vendor One Foods</c:v>
                </c:pt>
                <c:pt idx="4">
                  <c:v>Logistics Partners</c:v>
                </c:pt>
                <c:pt idx="5">
                  <c:v>EuroFreight GmbH</c:v>
                </c:pt>
                <c:pt idx="6">
                  <c:v>Metro Packaging</c:v>
                </c:pt>
                <c:pt idx="7">
                  <c:v>Northside Transport</c:v>
                </c:pt>
                <c:pt idx="8">
                  <c:v>City Utilities</c:v>
                </c:pt>
                <c:pt idx="9">
                  <c:v>Suministros MX</c:v>
                </c:pt>
                <c:pt idx="10">
                  <c:v>Packaging World</c:v>
                </c:pt>
                <c:pt idx="11">
                  <c:v>Office Supply Co</c:v>
                </c:pt>
                <c:pt idx="12">
                  <c:v>Alpha Facilities Mgmt</c:v>
                </c:pt>
                <c:pt idx="13">
                  <c:v>West Coast Paper</c:v>
                </c:pt>
                <c:pt idx="14">
                  <c:v>Cleaning Solutions</c:v>
                </c:pt>
              </c:strCache>
            </c:strRef>
          </c:cat>
          <c:val>
            <c:numRef>
              <c:f>'Exceptions Detail'!$E$13:$E$27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33-4411-AAAE-00E5AEE5A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427134"/>
        <c:axId val="88210016"/>
      </c:barChart>
      <c:catAx>
        <c:axId val="5242713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US" sz="105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5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210016"/>
        <c:crosses val="autoZero"/>
        <c:auto val="1"/>
        <c:lblAlgn val="ctr"/>
        <c:lblOffset val="100"/>
        <c:noMultiLvlLbl val="0"/>
      </c:catAx>
      <c:valAx>
        <c:axId val="8821001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4271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Outstanding Balance by Vendor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42772995015901"/>
          <c:y val="0.110809459169822"/>
          <c:w val="0.74309016764839197"/>
          <c:h val="0.830963777952418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'Summary Tables'!$C$39</c:f>
              <c:strCache>
                <c:ptCount val="1"/>
                <c:pt idx="0">
                  <c:v>Outstanding USD</c:v>
                </c:pt>
              </c:strCache>
            </c:strRef>
          </c:tx>
          <c:spPr>
            <a:solidFill>
              <a:srgbClr val="185FA5"/>
            </a:solidFill>
            <a:ln w="0">
              <a:solidFill>
                <a:srgbClr val="185FA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Tables'!$B$40:$B$47</c:f>
              <c:strCache>
                <c:ptCount val="8"/>
                <c:pt idx="0">
                  <c:v>Fresh Beverages Inc</c:v>
                </c:pt>
                <c:pt idx="1">
                  <c:v>Continental Freight</c:v>
                </c:pt>
                <c:pt idx="2">
                  <c:v>IT Services Group</c:v>
                </c:pt>
                <c:pt idx="3">
                  <c:v>Vendor One Foods</c:v>
                </c:pt>
                <c:pt idx="4">
                  <c:v>Logistics Partners</c:v>
                </c:pt>
                <c:pt idx="5">
                  <c:v>EuroFreight GmbH</c:v>
                </c:pt>
                <c:pt idx="6">
                  <c:v>Metro Packaging</c:v>
                </c:pt>
                <c:pt idx="7">
                  <c:v>Northside Transport</c:v>
                </c:pt>
              </c:strCache>
            </c:strRef>
          </c:cat>
          <c:val>
            <c:numRef>
              <c:f>'Summary Tables'!$C$40:$C$47</c:f>
              <c:numCache>
                <c:formatCode>\$#,##0.00</c:formatCode>
                <c:ptCount val="8"/>
                <c:pt idx="0">
                  <c:v>13779.17</c:v>
                </c:pt>
                <c:pt idx="1">
                  <c:v>11030.14</c:v>
                </c:pt>
                <c:pt idx="2">
                  <c:v>8700.57</c:v>
                </c:pt>
                <c:pt idx="3">
                  <c:v>7208.24</c:v>
                </c:pt>
                <c:pt idx="4">
                  <c:v>6447.8499999999995</c:v>
                </c:pt>
                <c:pt idx="5">
                  <c:v>5696.25</c:v>
                </c:pt>
                <c:pt idx="6">
                  <c:v>4829.3900000000003</c:v>
                </c:pt>
                <c:pt idx="7">
                  <c:v>3607.8900000000003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8-49F8-B71F-587E213D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68999"/>
        <c:axId val="37433223"/>
      </c:barChart>
      <c:catAx>
        <c:axId val="3846899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433223"/>
        <c:crosses val="autoZero"/>
        <c:auto val="1"/>
        <c:lblAlgn val="ctr"/>
        <c:lblOffset val="100"/>
        <c:noMultiLvlLbl val="0"/>
      </c:catAx>
      <c:valAx>
        <c:axId val="3743322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689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12</xdr:col>
      <xdr:colOff>43920</xdr:colOff>
      <xdr:row>39</xdr:row>
      <xdr:rowOff>66240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10</xdr:row>
      <xdr:rowOff>0</xdr:rowOff>
    </xdr:from>
    <xdr:to>
      <xdr:col>23</xdr:col>
      <xdr:colOff>43560</xdr:colOff>
      <xdr:row>39</xdr:row>
      <xdr:rowOff>66240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95400</xdr:colOff>
      <xdr:row>39</xdr:row>
      <xdr:rowOff>57240</xdr:rowOff>
    </xdr:from>
    <xdr:to>
      <xdr:col>23</xdr:col>
      <xdr:colOff>18360</xdr:colOff>
      <xdr:row>54</xdr:row>
      <xdr:rowOff>94680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9360</xdr:colOff>
      <xdr:row>2</xdr:row>
      <xdr:rowOff>19080</xdr:rowOff>
    </xdr:from>
    <xdr:to>
      <xdr:col>18</xdr:col>
      <xdr:colOff>293040</xdr:colOff>
      <xdr:row>13</xdr:row>
      <xdr:rowOff>124200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9360</xdr:rowOff>
    </xdr:from>
    <xdr:to>
      <xdr:col>6</xdr:col>
      <xdr:colOff>657000</xdr:colOff>
      <xdr:row>41</xdr:row>
      <xdr:rowOff>47520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_Invoices" displayName="AP_Invoices" ref="A1:T132" totalsRowCount="1">
  <autoFilter ref="A1:T131" xr:uid="{00000000-0009-0000-0100-000001000000}"/>
  <tableColumns count="20">
    <tableColumn id="1" xr3:uid="{00000000-0010-0000-0000-000001000000}" name="Invoice Num"/>
    <tableColumn id="2" xr3:uid="{00000000-0010-0000-0000-000002000000}" name="Vendor"/>
    <tableColumn id="3" xr3:uid="{00000000-0010-0000-0000-000003000000}" name="Company"/>
    <tableColumn id="4" xr3:uid="{00000000-0010-0000-0000-000004000000}" name="Month"/>
    <tableColumn id="5" xr3:uid="{00000000-0010-0000-0000-000005000000}" name="Invoice Date"/>
    <tableColumn id="6" xr3:uid="{00000000-0010-0000-0000-000006000000}" name="Due Date"/>
    <tableColumn id="7" xr3:uid="{00000000-0010-0000-0000-000007000000}" name="Payment Date"/>
    <tableColumn id="8" xr3:uid="{00000000-0010-0000-0000-000008000000}" name="Status"/>
    <tableColumn id="9" xr3:uid="{00000000-0010-0000-0000-000009000000}" name="Invoice Amt USD" totalsRowFunction="sum"/>
    <tableColumn id="10" xr3:uid="{00000000-0010-0000-0000-00000A000000}" name="Outstanding USD" totalsRowFunction="sum"/>
    <tableColumn id="11" xr3:uid="{00000000-0010-0000-0000-00000B000000}" name="Days to Pay"/>
    <tableColumn id="12" xr3:uid="{00000000-0010-0000-0000-00000C000000}" name="Aging Bucket"/>
    <tableColumn id="13" xr3:uid="{00000000-0010-0000-0000-00000D000000}" name="Days Past Due"/>
    <tableColumn id="14" xr3:uid="{00000000-0010-0000-0000-00000E000000}" name="Late Payment"/>
    <tableColumn id="15" xr3:uid="{00000000-0010-0000-0000-00000F000000}" name="Disc Captured"/>
    <tableColumn id="16" xr3:uid="{00000000-0010-0000-0000-000010000000}" name="Disc Missed"/>
    <tableColumn id="17" xr3:uid="{00000000-0010-0000-0000-000011000000}" name="Blocked 30d"/>
    <tableColumn id="18" xr3:uid="{00000000-0010-0000-0000-000012000000}" name="In Review 15d"/>
    <tableColumn id="19" xr3:uid="{00000000-0010-0000-0000-000013000000}" name="Issue Type"/>
    <tableColumn id="20" xr3:uid="{00000000-0010-0000-0000-000014000000}" name="Urg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3"/>
  <sheetViews>
    <sheetView zoomScaleNormal="100" workbookViewId="0">
      <pane ySplit="1" topLeftCell="A2" activePane="bottomLeft" state="frozen"/>
      <selection pane="bottomLeft" activeCell="J132" sqref="J132"/>
    </sheetView>
  </sheetViews>
  <sheetFormatPr defaultColWidth="8.7109375" defaultRowHeight="15" x14ac:dyDescent="0.25"/>
  <cols>
    <col min="1" max="1" width="14.42578125" customWidth="1"/>
    <col min="2" max="2" width="15.5703125" customWidth="1"/>
    <col min="3" max="3" width="12.140625" customWidth="1"/>
    <col min="4" max="4" width="10.140625" customWidth="1"/>
    <col min="5" max="5" width="14.42578125" customWidth="1"/>
    <col min="6" max="6" width="12.28515625" customWidth="1"/>
    <col min="7" max="7" width="15.7109375" customWidth="1"/>
    <col min="8" max="8" width="10" customWidth="1"/>
    <col min="9" max="9" width="17.7109375" customWidth="1"/>
    <col min="10" max="10" width="17.85546875" customWidth="1"/>
    <col min="11" max="11" width="14" customWidth="1"/>
    <col min="12" max="12" width="14.85546875" customWidth="1"/>
    <col min="13" max="13" width="15.85546875" customWidth="1"/>
    <col min="14" max="15" width="15.28515625" customWidth="1"/>
    <col min="16" max="16" width="14" customWidth="1"/>
    <col min="17" max="17" width="14.140625" customWidth="1"/>
    <col min="18" max="18" width="15.5703125" customWidth="1"/>
    <col min="19" max="19" width="16.5703125" customWidth="1"/>
    <col min="20" max="20" width="11.42578125" customWidth="1"/>
  </cols>
  <sheetData>
    <row r="1" spans="1:20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customHeigh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525.66999999999996</v>
      </c>
      <c r="J2" s="2">
        <v>0</v>
      </c>
      <c r="K2" s="2">
        <v>32</v>
      </c>
      <c r="L2" s="2" t="s">
        <v>28</v>
      </c>
      <c r="M2" s="2"/>
      <c r="N2" s="2" t="b">
        <f>TRUE()</f>
        <v>1</v>
      </c>
      <c r="O2" s="2">
        <v>0</v>
      </c>
      <c r="P2" s="2">
        <v>0</v>
      </c>
      <c r="Q2" s="2" t="b">
        <f>FALSE()</f>
        <v>0</v>
      </c>
      <c r="R2" s="2" t="b">
        <f>FALSE()</f>
        <v>0</v>
      </c>
      <c r="S2" s="2" t="s">
        <v>13</v>
      </c>
      <c r="T2" s="2" t="s">
        <v>29</v>
      </c>
    </row>
    <row r="3" spans="1:20" ht="15" customHeight="1" x14ac:dyDescent="0.25">
      <c r="A3" s="3" t="s">
        <v>30</v>
      </c>
      <c r="B3" s="3" t="s">
        <v>31</v>
      </c>
      <c r="C3" s="3" t="s">
        <v>32</v>
      </c>
      <c r="D3" s="3" t="s">
        <v>23</v>
      </c>
      <c r="E3" s="3" t="s">
        <v>24</v>
      </c>
      <c r="F3" s="3" t="s">
        <v>25</v>
      </c>
      <c r="G3" s="3" t="s">
        <v>33</v>
      </c>
      <c r="H3" s="3" t="s">
        <v>27</v>
      </c>
      <c r="I3" s="3">
        <v>2623.07</v>
      </c>
      <c r="J3" s="3">
        <v>0</v>
      </c>
      <c r="K3" s="3">
        <v>26</v>
      </c>
      <c r="L3" s="3" t="s">
        <v>28</v>
      </c>
      <c r="M3" s="3"/>
      <c r="N3" s="3" t="b">
        <f>FALSE()</f>
        <v>0</v>
      </c>
      <c r="O3" s="3">
        <v>0</v>
      </c>
      <c r="P3" s="3">
        <v>0</v>
      </c>
      <c r="Q3" s="3" t="b">
        <f>FALSE()</f>
        <v>0</v>
      </c>
      <c r="R3" s="3" t="b">
        <f>FALSE()</f>
        <v>0</v>
      </c>
      <c r="S3" s="3"/>
      <c r="T3" s="3"/>
    </row>
    <row r="4" spans="1:20" ht="15" customHeight="1" x14ac:dyDescent="0.25">
      <c r="A4" s="2" t="s">
        <v>34</v>
      </c>
      <c r="B4" s="2" t="s">
        <v>35</v>
      </c>
      <c r="C4" s="2" t="s">
        <v>32</v>
      </c>
      <c r="D4" s="2" t="s">
        <v>23</v>
      </c>
      <c r="E4" s="2" t="s">
        <v>24</v>
      </c>
      <c r="F4" s="2" t="s">
        <v>25</v>
      </c>
      <c r="G4" s="2" t="s">
        <v>36</v>
      </c>
      <c r="H4" s="2" t="s">
        <v>37</v>
      </c>
      <c r="I4" s="2">
        <v>3342.31</v>
      </c>
      <c r="J4" s="2">
        <v>1336.92</v>
      </c>
      <c r="K4" s="2"/>
      <c r="L4" s="2" t="s">
        <v>38</v>
      </c>
      <c r="M4" s="2">
        <v>148</v>
      </c>
      <c r="N4" s="2" t="b">
        <f>FALSE()</f>
        <v>0</v>
      </c>
      <c r="O4" s="2">
        <v>0</v>
      </c>
      <c r="P4" s="2">
        <v>66.849999999999994</v>
      </c>
      <c r="Q4" s="2" t="b">
        <f>FALSE()</f>
        <v>0</v>
      </c>
      <c r="R4" s="2" t="b">
        <f>FALSE()</f>
        <v>0</v>
      </c>
      <c r="S4" s="2" t="s">
        <v>39</v>
      </c>
      <c r="T4" s="2" t="s">
        <v>40</v>
      </c>
    </row>
    <row r="5" spans="1:20" ht="15" customHeight="1" x14ac:dyDescent="0.25">
      <c r="A5" s="3" t="s">
        <v>41</v>
      </c>
      <c r="B5" s="3" t="s">
        <v>31</v>
      </c>
      <c r="C5" s="3" t="s">
        <v>32</v>
      </c>
      <c r="D5" s="3" t="s">
        <v>23</v>
      </c>
      <c r="E5" s="3" t="s">
        <v>42</v>
      </c>
      <c r="F5" s="3" t="s">
        <v>43</v>
      </c>
      <c r="G5" s="3" t="s">
        <v>44</v>
      </c>
      <c r="H5" s="3" t="s">
        <v>27</v>
      </c>
      <c r="I5" s="3">
        <v>2363.08</v>
      </c>
      <c r="J5" s="3">
        <v>0</v>
      </c>
      <c r="K5" s="3">
        <v>32</v>
      </c>
      <c r="L5" s="3" t="s">
        <v>28</v>
      </c>
      <c r="M5" s="3"/>
      <c r="N5" s="3" t="b">
        <f>TRUE()</f>
        <v>1</v>
      </c>
      <c r="O5" s="3">
        <v>0</v>
      </c>
      <c r="P5" s="3">
        <v>0</v>
      </c>
      <c r="Q5" s="3" t="b">
        <f>FALSE()</f>
        <v>0</v>
      </c>
      <c r="R5" s="3" t="b">
        <f>FALSE()</f>
        <v>0</v>
      </c>
      <c r="S5" s="3" t="s">
        <v>13</v>
      </c>
      <c r="T5" s="3" t="s">
        <v>29</v>
      </c>
    </row>
    <row r="6" spans="1:20" ht="15" customHeight="1" x14ac:dyDescent="0.25">
      <c r="A6" s="2" t="s">
        <v>45</v>
      </c>
      <c r="B6" s="2" t="s">
        <v>46</v>
      </c>
      <c r="C6" s="2" t="s">
        <v>32</v>
      </c>
      <c r="D6" s="2" t="s">
        <v>23</v>
      </c>
      <c r="E6" s="2" t="s">
        <v>47</v>
      </c>
      <c r="F6" s="2" t="s">
        <v>44</v>
      </c>
      <c r="G6" s="2" t="s">
        <v>48</v>
      </c>
      <c r="H6" s="2" t="s">
        <v>27</v>
      </c>
      <c r="I6" s="2">
        <v>1905.51</v>
      </c>
      <c r="J6" s="2">
        <v>0</v>
      </c>
      <c r="K6" s="2">
        <v>13</v>
      </c>
      <c r="L6" s="2" t="s">
        <v>28</v>
      </c>
      <c r="M6" s="2"/>
      <c r="N6" s="2" t="b">
        <f>FALSE()</f>
        <v>0</v>
      </c>
      <c r="O6" s="2">
        <v>0</v>
      </c>
      <c r="P6" s="2">
        <v>0</v>
      </c>
      <c r="Q6" s="2" t="b">
        <f>FALSE()</f>
        <v>0</v>
      </c>
      <c r="R6" s="2" t="b">
        <f>FALSE()</f>
        <v>0</v>
      </c>
      <c r="S6" s="2"/>
      <c r="T6" s="2"/>
    </row>
    <row r="7" spans="1:20" ht="15" customHeight="1" x14ac:dyDescent="0.25">
      <c r="A7" s="3" t="s">
        <v>49</v>
      </c>
      <c r="B7" s="3" t="s">
        <v>50</v>
      </c>
      <c r="C7" s="3" t="s">
        <v>22</v>
      </c>
      <c r="D7" s="3" t="s">
        <v>23</v>
      </c>
      <c r="E7" s="3" t="s">
        <v>51</v>
      </c>
      <c r="F7" s="3" t="s">
        <v>52</v>
      </c>
      <c r="G7" s="3" t="s">
        <v>25</v>
      </c>
      <c r="H7" s="3" t="s">
        <v>27</v>
      </c>
      <c r="I7" s="3">
        <v>1337.83</v>
      </c>
      <c r="J7" s="3">
        <v>0</v>
      </c>
      <c r="K7" s="3">
        <v>24</v>
      </c>
      <c r="L7" s="3" t="s">
        <v>28</v>
      </c>
      <c r="M7" s="3"/>
      <c r="N7" s="3" t="b">
        <f>FALSE()</f>
        <v>0</v>
      </c>
      <c r="O7" s="3">
        <v>0</v>
      </c>
      <c r="P7" s="3">
        <v>0</v>
      </c>
      <c r="Q7" s="3" t="b">
        <f>FALSE()</f>
        <v>0</v>
      </c>
      <c r="R7" s="3" t="b">
        <f>FALSE()</f>
        <v>0</v>
      </c>
      <c r="S7" s="3"/>
      <c r="T7" s="3"/>
    </row>
    <row r="8" spans="1:20" ht="15" customHeight="1" x14ac:dyDescent="0.25">
      <c r="A8" s="2" t="s">
        <v>53</v>
      </c>
      <c r="B8" s="2" t="s">
        <v>54</v>
      </c>
      <c r="C8" s="2" t="s">
        <v>32</v>
      </c>
      <c r="D8" s="2" t="s">
        <v>23</v>
      </c>
      <c r="E8" s="2" t="s">
        <v>55</v>
      </c>
      <c r="F8" s="2" t="s">
        <v>56</v>
      </c>
      <c r="G8" s="2" t="s">
        <v>57</v>
      </c>
      <c r="H8" s="2" t="s">
        <v>27</v>
      </c>
      <c r="I8" s="2">
        <v>1444.45</v>
      </c>
      <c r="J8" s="2">
        <v>0</v>
      </c>
      <c r="K8" s="2">
        <v>8</v>
      </c>
      <c r="L8" s="2" t="s">
        <v>28</v>
      </c>
      <c r="M8" s="2"/>
      <c r="N8" s="2" t="b">
        <f>FALSE()</f>
        <v>0</v>
      </c>
      <c r="O8" s="2">
        <v>0</v>
      </c>
      <c r="P8" s="2">
        <v>0</v>
      </c>
      <c r="Q8" s="2" t="b">
        <f>FALSE()</f>
        <v>0</v>
      </c>
      <c r="R8" s="2" t="b">
        <f>FALSE()</f>
        <v>0</v>
      </c>
      <c r="S8" s="2"/>
      <c r="T8" s="2"/>
    </row>
    <row r="9" spans="1:20" ht="15" customHeight="1" x14ac:dyDescent="0.25">
      <c r="A9" s="3" t="s">
        <v>58</v>
      </c>
      <c r="B9" s="3" t="s">
        <v>54</v>
      </c>
      <c r="C9" s="3" t="s">
        <v>32</v>
      </c>
      <c r="D9" s="3" t="s">
        <v>23</v>
      </c>
      <c r="E9" s="3" t="s">
        <v>55</v>
      </c>
      <c r="F9" s="3" t="s">
        <v>56</v>
      </c>
      <c r="G9" s="3" t="s">
        <v>59</v>
      </c>
      <c r="H9" s="3" t="s">
        <v>27</v>
      </c>
      <c r="I9" s="3">
        <v>2542.85</v>
      </c>
      <c r="J9" s="3">
        <v>0</v>
      </c>
      <c r="K9" s="3">
        <v>5</v>
      </c>
      <c r="L9" s="3" t="s">
        <v>28</v>
      </c>
      <c r="M9" s="3"/>
      <c r="N9" s="3" t="b">
        <f>FALSE()</f>
        <v>0</v>
      </c>
      <c r="O9" s="3">
        <v>0</v>
      </c>
      <c r="P9" s="3">
        <v>0</v>
      </c>
      <c r="Q9" s="3" t="b">
        <f>FALSE()</f>
        <v>0</v>
      </c>
      <c r="R9" s="3" t="b">
        <f>FALSE()</f>
        <v>0</v>
      </c>
      <c r="S9" s="3"/>
      <c r="T9" s="3"/>
    </row>
    <row r="10" spans="1:20" ht="15" customHeight="1" x14ac:dyDescent="0.25">
      <c r="A10" s="2" t="s">
        <v>60</v>
      </c>
      <c r="B10" s="2" t="s">
        <v>61</v>
      </c>
      <c r="C10" s="2" t="s">
        <v>22</v>
      </c>
      <c r="D10" s="2" t="s">
        <v>23</v>
      </c>
      <c r="E10" s="2" t="s">
        <v>55</v>
      </c>
      <c r="F10" s="2" t="s">
        <v>62</v>
      </c>
      <c r="G10" s="2"/>
      <c r="H10" s="2" t="s">
        <v>63</v>
      </c>
      <c r="I10" s="2">
        <v>567.87</v>
      </c>
      <c r="J10" s="2">
        <v>567.87</v>
      </c>
      <c r="K10" s="2"/>
      <c r="L10" s="2" t="s">
        <v>38</v>
      </c>
      <c r="M10" s="2">
        <v>156</v>
      </c>
      <c r="N10" s="2" t="b">
        <f>FALSE()</f>
        <v>0</v>
      </c>
      <c r="O10" s="2">
        <v>0</v>
      </c>
      <c r="P10" s="2">
        <v>0</v>
      </c>
      <c r="Q10" s="2" t="b">
        <f>TRUE()</f>
        <v>1</v>
      </c>
      <c r="R10" s="2" t="b">
        <f>FALSE()</f>
        <v>0</v>
      </c>
      <c r="S10" s="2" t="s">
        <v>64</v>
      </c>
      <c r="T10" s="2" t="s">
        <v>65</v>
      </c>
    </row>
    <row r="11" spans="1:20" ht="15" customHeight="1" x14ac:dyDescent="0.25">
      <c r="A11" s="3" t="s">
        <v>66</v>
      </c>
      <c r="B11" s="3" t="s">
        <v>67</v>
      </c>
      <c r="C11" s="3" t="s">
        <v>68</v>
      </c>
      <c r="D11" s="3" t="s">
        <v>23</v>
      </c>
      <c r="E11" s="3" t="s">
        <v>59</v>
      </c>
      <c r="F11" s="3" t="s">
        <v>69</v>
      </c>
      <c r="G11" s="3"/>
      <c r="H11" s="3" t="s">
        <v>63</v>
      </c>
      <c r="I11" s="3">
        <v>407.86</v>
      </c>
      <c r="J11" s="3">
        <v>407.86</v>
      </c>
      <c r="K11" s="3"/>
      <c r="L11" s="3" t="s">
        <v>38</v>
      </c>
      <c r="M11" s="3">
        <v>135</v>
      </c>
      <c r="N11" s="3" t="b">
        <f>FALSE()</f>
        <v>0</v>
      </c>
      <c r="O11" s="3">
        <v>0</v>
      </c>
      <c r="P11" s="3">
        <v>0</v>
      </c>
      <c r="Q11" s="3" t="b">
        <f>TRUE()</f>
        <v>1</v>
      </c>
      <c r="R11" s="3" t="b">
        <f>FALSE()</f>
        <v>0</v>
      </c>
      <c r="S11" s="3" t="s">
        <v>64</v>
      </c>
      <c r="T11" s="3" t="s">
        <v>65</v>
      </c>
    </row>
    <row r="12" spans="1:20" ht="15" customHeight="1" x14ac:dyDescent="0.25">
      <c r="A12" s="2" t="s">
        <v>70</v>
      </c>
      <c r="B12" s="2" t="s">
        <v>61</v>
      </c>
      <c r="C12" s="2" t="s">
        <v>22</v>
      </c>
      <c r="D12" s="2" t="s">
        <v>23</v>
      </c>
      <c r="E12" s="2" t="s">
        <v>71</v>
      </c>
      <c r="F12" s="2" t="s">
        <v>72</v>
      </c>
      <c r="G12" s="2" t="s">
        <v>73</v>
      </c>
      <c r="H12" s="2" t="s">
        <v>27</v>
      </c>
      <c r="I12" s="2">
        <v>410.58</v>
      </c>
      <c r="J12" s="2">
        <v>0</v>
      </c>
      <c r="K12" s="2">
        <v>13</v>
      </c>
      <c r="L12" s="2" t="s">
        <v>28</v>
      </c>
      <c r="M12" s="2"/>
      <c r="N12" s="2" t="b">
        <f>FALSE()</f>
        <v>0</v>
      </c>
      <c r="O12" s="2">
        <v>0</v>
      </c>
      <c r="P12" s="2">
        <v>0</v>
      </c>
      <c r="Q12" s="2" t="b">
        <f>FALSE()</f>
        <v>0</v>
      </c>
      <c r="R12" s="2" t="b">
        <f>FALSE()</f>
        <v>0</v>
      </c>
      <c r="S12" s="2"/>
      <c r="T12" s="2"/>
    </row>
    <row r="13" spans="1:20" ht="15" customHeight="1" x14ac:dyDescent="0.25">
      <c r="A13" s="3" t="s">
        <v>74</v>
      </c>
      <c r="B13" s="3" t="s">
        <v>75</v>
      </c>
      <c r="C13" s="3" t="s">
        <v>22</v>
      </c>
      <c r="D13" s="3" t="s">
        <v>23</v>
      </c>
      <c r="E13" s="3" t="s">
        <v>57</v>
      </c>
      <c r="F13" s="3" t="s">
        <v>76</v>
      </c>
      <c r="G13" s="3" t="s">
        <v>77</v>
      </c>
      <c r="H13" s="3" t="s">
        <v>27</v>
      </c>
      <c r="I13" s="3">
        <v>1478.39</v>
      </c>
      <c r="J13" s="3">
        <v>0</v>
      </c>
      <c r="K13" s="3">
        <v>21</v>
      </c>
      <c r="L13" s="3" t="s">
        <v>28</v>
      </c>
      <c r="M13" s="3"/>
      <c r="N13" s="3" t="b">
        <f>FALSE()</f>
        <v>0</v>
      </c>
      <c r="O13" s="3">
        <v>0</v>
      </c>
      <c r="P13" s="3">
        <v>0</v>
      </c>
      <c r="Q13" s="3" t="b">
        <f>FALSE()</f>
        <v>0</v>
      </c>
      <c r="R13" s="3" t="b">
        <f>FALSE()</f>
        <v>0</v>
      </c>
      <c r="S13" s="3"/>
      <c r="T13" s="3"/>
    </row>
    <row r="14" spans="1:20" ht="15" customHeight="1" x14ac:dyDescent="0.25">
      <c r="A14" s="2" t="s">
        <v>78</v>
      </c>
      <c r="B14" s="2" t="s">
        <v>79</v>
      </c>
      <c r="C14" s="2" t="s">
        <v>32</v>
      </c>
      <c r="D14" s="2" t="s">
        <v>23</v>
      </c>
      <c r="E14" s="2" t="s">
        <v>80</v>
      </c>
      <c r="F14" s="2" t="s">
        <v>76</v>
      </c>
      <c r="G14" s="2" t="s">
        <v>81</v>
      </c>
      <c r="H14" s="2" t="s">
        <v>27</v>
      </c>
      <c r="I14" s="2">
        <v>379.47</v>
      </c>
      <c r="J14" s="2">
        <v>0</v>
      </c>
      <c r="K14" s="2">
        <v>27</v>
      </c>
      <c r="L14" s="2" t="s">
        <v>28</v>
      </c>
      <c r="M14" s="2"/>
      <c r="N14" s="2" t="b">
        <f>FALSE()</f>
        <v>0</v>
      </c>
      <c r="O14" s="2">
        <v>0</v>
      </c>
      <c r="P14" s="2">
        <v>0</v>
      </c>
      <c r="Q14" s="2" t="b">
        <f>FALSE()</f>
        <v>0</v>
      </c>
      <c r="R14" s="2" t="b">
        <f>FALSE()</f>
        <v>0</v>
      </c>
      <c r="S14" s="2"/>
      <c r="T14" s="2"/>
    </row>
    <row r="15" spans="1:20" ht="15" customHeight="1" x14ac:dyDescent="0.25">
      <c r="A15" s="3" t="s">
        <v>82</v>
      </c>
      <c r="B15" s="3" t="s">
        <v>83</v>
      </c>
      <c r="C15" s="3" t="s">
        <v>22</v>
      </c>
      <c r="D15" s="3" t="s">
        <v>23</v>
      </c>
      <c r="E15" s="3" t="s">
        <v>84</v>
      </c>
      <c r="F15" s="3" t="s">
        <v>43</v>
      </c>
      <c r="G15" s="3"/>
      <c r="H15" s="3" t="s">
        <v>63</v>
      </c>
      <c r="I15" s="3">
        <v>651.71</v>
      </c>
      <c r="J15" s="3">
        <v>651.71</v>
      </c>
      <c r="K15" s="3"/>
      <c r="L15" s="3" t="s">
        <v>38</v>
      </c>
      <c r="M15" s="3">
        <v>145</v>
      </c>
      <c r="N15" s="3" t="b">
        <f>FALSE()</f>
        <v>0</v>
      </c>
      <c r="O15" s="3">
        <v>0</v>
      </c>
      <c r="P15" s="3">
        <v>0</v>
      </c>
      <c r="Q15" s="3" t="b">
        <f>TRUE()</f>
        <v>1</v>
      </c>
      <c r="R15" s="3" t="b">
        <f>FALSE()</f>
        <v>0</v>
      </c>
      <c r="S15" s="3" t="s">
        <v>64</v>
      </c>
      <c r="T15" s="3" t="s">
        <v>65</v>
      </c>
    </row>
    <row r="16" spans="1:20" ht="15" customHeight="1" x14ac:dyDescent="0.25">
      <c r="A16" s="2" t="s">
        <v>85</v>
      </c>
      <c r="B16" s="2" t="s">
        <v>86</v>
      </c>
      <c r="C16" s="2" t="s">
        <v>22</v>
      </c>
      <c r="D16" s="2" t="s">
        <v>23</v>
      </c>
      <c r="E16" s="2" t="s">
        <v>87</v>
      </c>
      <c r="F16" s="2" t="s">
        <v>52</v>
      </c>
      <c r="G16" s="2" t="s">
        <v>43</v>
      </c>
      <c r="H16" s="2" t="s">
        <v>27</v>
      </c>
      <c r="I16" s="2">
        <v>2604.1999999999998</v>
      </c>
      <c r="J16" s="2">
        <v>0</v>
      </c>
      <c r="K16" s="2">
        <v>12</v>
      </c>
      <c r="L16" s="2" t="s">
        <v>28</v>
      </c>
      <c r="M16" s="2"/>
      <c r="N16" s="2" t="b">
        <f>FALSE()</f>
        <v>0</v>
      </c>
      <c r="O16" s="2">
        <v>0</v>
      </c>
      <c r="P16" s="2">
        <v>0</v>
      </c>
      <c r="Q16" s="2" t="b">
        <f>FALSE()</f>
        <v>0</v>
      </c>
      <c r="R16" s="2" t="b">
        <f>FALSE()</f>
        <v>0</v>
      </c>
      <c r="S16" s="2"/>
      <c r="T16" s="2"/>
    </row>
    <row r="17" spans="1:20" ht="15" customHeight="1" x14ac:dyDescent="0.25">
      <c r="A17" s="3" t="s">
        <v>88</v>
      </c>
      <c r="B17" s="3" t="s">
        <v>89</v>
      </c>
      <c r="C17" s="3" t="s">
        <v>32</v>
      </c>
      <c r="D17" s="3" t="s">
        <v>23</v>
      </c>
      <c r="E17" s="3" t="s">
        <v>90</v>
      </c>
      <c r="F17" s="3" t="s">
        <v>91</v>
      </c>
      <c r="G17" s="3" t="s">
        <v>43</v>
      </c>
      <c r="H17" s="3" t="s">
        <v>27</v>
      </c>
      <c r="I17" s="3">
        <v>962.83</v>
      </c>
      <c r="J17" s="3">
        <v>0</v>
      </c>
      <c r="K17" s="3">
        <v>9</v>
      </c>
      <c r="L17" s="3" t="s">
        <v>28</v>
      </c>
      <c r="M17" s="3"/>
      <c r="N17" s="3" t="b">
        <f>FALSE()</f>
        <v>0</v>
      </c>
      <c r="O17" s="3">
        <v>19.260000000000002</v>
      </c>
      <c r="P17" s="3">
        <v>0</v>
      </c>
      <c r="Q17" s="3" t="b">
        <f>FALSE()</f>
        <v>0</v>
      </c>
      <c r="R17" s="3" t="b">
        <f>FALSE()</f>
        <v>0</v>
      </c>
      <c r="S17" s="3"/>
      <c r="T17" s="3"/>
    </row>
    <row r="18" spans="1:20" ht="15" customHeight="1" x14ac:dyDescent="0.25">
      <c r="A18" s="2" t="s">
        <v>92</v>
      </c>
      <c r="B18" s="2" t="s">
        <v>93</v>
      </c>
      <c r="C18" s="2" t="s">
        <v>94</v>
      </c>
      <c r="D18" s="2" t="s">
        <v>23</v>
      </c>
      <c r="E18" s="2" t="s">
        <v>90</v>
      </c>
      <c r="F18" s="2" t="s">
        <v>91</v>
      </c>
      <c r="G18" s="2" t="s">
        <v>26</v>
      </c>
      <c r="H18" s="2" t="s">
        <v>27</v>
      </c>
      <c r="I18" s="2">
        <v>700.72</v>
      </c>
      <c r="J18" s="2">
        <v>0</v>
      </c>
      <c r="K18" s="2">
        <v>8</v>
      </c>
      <c r="L18" s="2" t="s">
        <v>28</v>
      </c>
      <c r="M18" s="2"/>
      <c r="N18" s="2" t="b">
        <f>FALSE()</f>
        <v>0</v>
      </c>
      <c r="O18" s="2">
        <v>0</v>
      </c>
      <c r="P18" s="2">
        <v>0</v>
      </c>
      <c r="Q18" s="2" t="b">
        <f>FALSE()</f>
        <v>0</v>
      </c>
      <c r="R18" s="2" t="b">
        <f>FALSE()</f>
        <v>0</v>
      </c>
      <c r="S18" s="2"/>
      <c r="T18" s="2"/>
    </row>
    <row r="19" spans="1:20" ht="15" customHeight="1" x14ac:dyDescent="0.25">
      <c r="A19" s="3" t="s">
        <v>95</v>
      </c>
      <c r="B19" s="3" t="s">
        <v>96</v>
      </c>
      <c r="C19" s="3" t="s">
        <v>32</v>
      </c>
      <c r="D19" s="3" t="s">
        <v>23</v>
      </c>
      <c r="E19" s="3" t="s">
        <v>62</v>
      </c>
      <c r="F19" s="3" t="s">
        <v>91</v>
      </c>
      <c r="G19" s="3"/>
      <c r="H19" s="3" t="s">
        <v>97</v>
      </c>
      <c r="I19" s="3">
        <v>482.87</v>
      </c>
      <c r="J19" s="3">
        <v>482.87</v>
      </c>
      <c r="K19" s="3"/>
      <c r="L19" s="3" t="s">
        <v>38</v>
      </c>
      <c r="M19" s="3">
        <v>124</v>
      </c>
      <c r="N19" s="3" t="b">
        <f>FALSE()</f>
        <v>0</v>
      </c>
      <c r="O19" s="3">
        <v>0</v>
      </c>
      <c r="P19" s="3">
        <v>0</v>
      </c>
      <c r="Q19" s="3" t="b">
        <f>FALSE()</f>
        <v>0</v>
      </c>
      <c r="R19" s="3" t="b">
        <f>TRUE()</f>
        <v>1</v>
      </c>
      <c r="S19" s="3" t="s">
        <v>98</v>
      </c>
      <c r="T19" s="3" t="s">
        <v>40</v>
      </c>
    </row>
    <row r="20" spans="1:20" ht="15" customHeight="1" x14ac:dyDescent="0.25">
      <c r="A20" s="2" t="s">
        <v>99</v>
      </c>
      <c r="B20" s="2" t="s">
        <v>35</v>
      </c>
      <c r="C20" s="2" t="s">
        <v>32</v>
      </c>
      <c r="D20" s="2" t="s">
        <v>23</v>
      </c>
      <c r="E20" s="2" t="s">
        <v>100</v>
      </c>
      <c r="F20" s="2" t="s">
        <v>91</v>
      </c>
      <c r="G20" s="2" t="s">
        <v>101</v>
      </c>
      <c r="H20" s="2" t="s">
        <v>27</v>
      </c>
      <c r="I20" s="2">
        <v>3170.94</v>
      </c>
      <c r="J20" s="2">
        <v>0</v>
      </c>
      <c r="K20" s="2">
        <v>26</v>
      </c>
      <c r="L20" s="2" t="s">
        <v>28</v>
      </c>
      <c r="M20" s="2"/>
      <c r="N20" s="2" t="b">
        <f>FALSE()</f>
        <v>0</v>
      </c>
      <c r="O20" s="2">
        <v>0</v>
      </c>
      <c r="P20" s="2">
        <v>63.42</v>
      </c>
      <c r="Q20" s="2" t="b">
        <f>FALSE()</f>
        <v>0</v>
      </c>
      <c r="R20" s="2" t="b">
        <f>FALSE()</f>
        <v>0</v>
      </c>
      <c r="S20" s="2" t="s">
        <v>39</v>
      </c>
      <c r="T20" s="2" t="s">
        <v>40</v>
      </c>
    </row>
    <row r="21" spans="1:20" ht="15" customHeight="1" x14ac:dyDescent="0.25">
      <c r="A21" s="3" t="s">
        <v>102</v>
      </c>
      <c r="B21" s="3" t="s">
        <v>61</v>
      </c>
      <c r="C21" s="3" t="s">
        <v>22</v>
      </c>
      <c r="D21" s="3" t="s">
        <v>103</v>
      </c>
      <c r="E21" s="3" t="s">
        <v>104</v>
      </c>
      <c r="F21" s="3" t="s">
        <v>76</v>
      </c>
      <c r="G21" s="3" t="s">
        <v>105</v>
      </c>
      <c r="H21" s="3" t="s">
        <v>27</v>
      </c>
      <c r="I21" s="3">
        <v>471.21</v>
      </c>
      <c r="J21" s="3">
        <v>0</v>
      </c>
      <c r="K21" s="3">
        <v>10</v>
      </c>
      <c r="L21" s="3" t="s">
        <v>28</v>
      </c>
      <c r="M21" s="3"/>
      <c r="N21" s="3" t="b">
        <f>FALSE()</f>
        <v>0</v>
      </c>
      <c r="O21" s="3">
        <v>0</v>
      </c>
      <c r="P21" s="3">
        <v>0</v>
      </c>
      <c r="Q21" s="3" t="b">
        <f>FALSE()</f>
        <v>0</v>
      </c>
      <c r="R21" s="3" t="b">
        <f>FALSE()</f>
        <v>0</v>
      </c>
      <c r="S21" s="3"/>
      <c r="T21" s="3"/>
    </row>
    <row r="22" spans="1:20" ht="15" customHeight="1" x14ac:dyDescent="0.25">
      <c r="A22" s="2" t="s">
        <v>106</v>
      </c>
      <c r="B22" s="2" t="s">
        <v>96</v>
      </c>
      <c r="C22" s="2" t="s">
        <v>32</v>
      </c>
      <c r="D22" s="2" t="s">
        <v>103</v>
      </c>
      <c r="E22" s="2" t="s">
        <v>26</v>
      </c>
      <c r="F22" s="2" t="s">
        <v>107</v>
      </c>
      <c r="G22" s="2"/>
      <c r="H22" s="2" t="s">
        <v>108</v>
      </c>
      <c r="I22" s="2">
        <v>0</v>
      </c>
      <c r="J22" s="2">
        <v>0</v>
      </c>
      <c r="K22" s="2"/>
      <c r="L22" s="2" t="s">
        <v>28</v>
      </c>
      <c r="M22" s="2"/>
      <c r="N22" s="2" t="b">
        <f>FALSE()</f>
        <v>0</v>
      </c>
      <c r="O22" s="2">
        <v>0</v>
      </c>
      <c r="P22" s="2">
        <v>0</v>
      </c>
      <c r="Q22" s="2" t="b">
        <f>FALSE()</f>
        <v>0</v>
      </c>
      <c r="R22" s="2" t="b">
        <f>FALSE()</f>
        <v>0</v>
      </c>
      <c r="S22" s="2" t="s">
        <v>109</v>
      </c>
      <c r="T22" s="2" t="s">
        <v>29</v>
      </c>
    </row>
    <row r="23" spans="1:20" ht="15" customHeight="1" x14ac:dyDescent="0.25">
      <c r="A23" s="3" t="s">
        <v>110</v>
      </c>
      <c r="B23" s="3" t="s">
        <v>75</v>
      </c>
      <c r="C23" s="3" t="s">
        <v>22</v>
      </c>
      <c r="D23" s="3" t="s">
        <v>103</v>
      </c>
      <c r="E23" s="3" t="s">
        <v>26</v>
      </c>
      <c r="F23" s="3" t="s">
        <v>107</v>
      </c>
      <c r="G23" s="3" t="s">
        <v>105</v>
      </c>
      <c r="H23" s="3" t="s">
        <v>27</v>
      </c>
      <c r="I23" s="3">
        <v>3926.93</v>
      </c>
      <c r="J23" s="3">
        <v>0</v>
      </c>
      <c r="K23" s="3">
        <v>9</v>
      </c>
      <c r="L23" s="3" t="s">
        <v>28</v>
      </c>
      <c r="M23" s="3"/>
      <c r="N23" s="3" t="b">
        <f>FALSE()</f>
        <v>0</v>
      </c>
      <c r="O23" s="3">
        <v>0</v>
      </c>
      <c r="P23" s="3">
        <v>0</v>
      </c>
      <c r="Q23" s="3" t="b">
        <f>FALSE()</f>
        <v>0</v>
      </c>
      <c r="R23" s="3" t="b">
        <f>FALSE()</f>
        <v>0</v>
      </c>
      <c r="S23" s="3"/>
      <c r="T23" s="3"/>
    </row>
    <row r="24" spans="1:20" ht="15" customHeight="1" x14ac:dyDescent="0.25">
      <c r="A24" s="2" t="s">
        <v>111</v>
      </c>
      <c r="B24" s="2" t="s">
        <v>93</v>
      </c>
      <c r="C24" s="2" t="s">
        <v>94</v>
      </c>
      <c r="D24" s="2" t="s">
        <v>103</v>
      </c>
      <c r="E24" s="2" t="s">
        <v>26</v>
      </c>
      <c r="F24" s="2" t="s">
        <v>107</v>
      </c>
      <c r="G24" s="2"/>
      <c r="H24" s="2" t="s">
        <v>112</v>
      </c>
      <c r="I24" s="2">
        <v>811.75</v>
      </c>
      <c r="J24" s="2">
        <v>811.75</v>
      </c>
      <c r="K24" s="2"/>
      <c r="L24" s="2" t="s">
        <v>38</v>
      </c>
      <c r="M24" s="2">
        <v>115</v>
      </c>
      <c r="N24" s="2" t="b">
        <f>FALSE()</f>
        <v>0</v>
      </c>
      <c r="O24" s="2">
        <v>0</v>
      </c>
      <c r="P24" s="2">
        <v>0</v>
      </c>
      <c r="Q24" s="2" t="b">
        <f>FALSE()</f>
        <v>0</v>
      </c>
      <c r="R24" s="2" t="b">
        <f>FALSE()</f>
        <v>0</v>
      </c>
      <c r="S24" s="2" t="s">
        <v>113</v>
      </c>
      <c r="T24" s="2" t="s">
        <v>65</v>
      </c>
    </row>
    <row r="25" spans="1:20" ht="15" customHeight="1" x14ac:dyDescent="0.25">
      <c r="A25" s="3" t="s">
        <v>114</v>
      </c>
      <c r="B25" s="3" t="s">
        <v>96</v>
      </c>
      <c r="C25" s="3" t="s">
        <v>32</v>
      </c>
      <c r="D25" s="3" t="s">
        <v>103</v>
      </c>
      <c r="E25" s="3" t="s">
        <v>43</v>
      </c>
      <c r="F25" s="3" t="s">
        <v>115</v>
      </c>
      <c r="G25" s="3" t="s">
        <v>116</v>
      </c>
      <c r="H25" s="3" t="s">
        <v>27</v>
      </c>
      <c r="I25" s="3">
        <v>804.33</v>
      </c>
      <c r="J25" s="3">
        <v>0</v>
      </c>
      <c r="K25" s="3">
        <v>28</v>
      </c>
      <c r="L25" s="3" t="s">
        <v>28</v>
      </c>
      <c r="M25" s="3"/>
      <c r="N25" s="3" t="b">
        <f>FALSE()</f>
        <v>0</v>
      </c>
      <c r="O25" s="3">
        <v>0</v>
      </c>
      <c r="P25" s="3">
        <v>0</v>
      </c>
      <c r="Q25" s="3" t="b">
        <f>FALSE()</f>
        <v>0</v>
      </c>
      <c r="R25" s="3" t="b">
        <f>FALSE()</f>
        <v>0</v>
      </c>
      <c r="S25" s="3"/>
      <c r="T25" s="3"/>
    </row>
    <row r="26" spans="1:20" ht="15" customHeight="1" x14ac:dyDescent="0.25">
      <c r="A26" s="2" t="s">
        <v>117</v>
      </c>
      <c r="B26" s="2" t="s">
        <v>86</v>
      </c>
      <c r="C26" s="2" t="s">
        <v>22</v>
      </c>
      <c r="D26" s="2" t="s">
        <v>103</v>
      </c>
      <c r="E26" s="2" t="s">
        <v>43</v>
      </c>
      <c r="F26" s="2" t="s">
        <v>115</v>
      </c>
      <c r="G26" s="2" t="s">
        <v>118</v>
      </c>
      <c r="H26" s="2" t="s">
        <v>27</v>
      </c>
      <c r="I26" s="2">
        <v>1550.73</v>
      </c>
      <c r="J26" s="2">
        <v>0</v>
      </c>
      <c r="K26" s="2">
        <v>21</v>
      </c>
      <c r="L26" s="2" t="s">
        <v>28</v>
      </c>
      <c r="M26" s="2"/>
      <c r="N26" s="2" t="b">
        <f>FALSE()</f>
        <v>0</v>
      </c>
      <c r="O26" s="2">
        <v>0</v>
      </c>
      <c r="P26" s="2">
        <v>0</v>
      </c>
      <c r="Q26" s="2" t="b">
        <f>FALSE()</f>
        <v>0</v>
      </c>
      <c r="R26" s="2" t="b">
        <f>FALSE()</f>
        <v>0</v>
      </c>
      <c r="S26" s="2"/>
      <c r="T26" s="2"/>
    </row>
    <row r="27" spans="1:20" ht="15" customHeight="1" x14ac:dyDescent="0.25">
      <c r="A27" s="3" t="s">
        <v>119</v>
      </c>
      <c r="B27" s="3" t="s">
        <v>50</v>
      </c>
      <c r="C27" s="3" t="s">
        <v>22</v>
      </c>
      <c r="D27" s="3" t="s">
        <v>103</v>
      </c>
      <c r="E27" s="3" t="s">
        <v>43</v>
      </c>
      <c r="F27" s="3" t="s">
        <v>120</v>
      </c>
      <c r="G27" s="3" t="s">
        <v>121</v>
      </c>
      <c r="H27" s="3" t="s">
        <v>27</v>
      </c>
      <c r="I27" s="3">
        <v>874.95</v>
      </c>
      <c r="J27" s="3">
        <v>0</v>
      </c>
      <c r="K27" s="3">
        <v>36</v>
      </c>
      <c r="L27" s="3" t="s">
        <v>28</v>
      </c>
      <c r="M27" s="3"/>
      <c r="N27" s="3" t="b">
        <f>FALSE()</f>
        <v>0</v>
      </c>
      <c r="O27" s="3">
        <v>0</v>
      </c>
      <c r="P27" s="3">
        <v>0</v>
      </c>
      <c r="Q27" s="3" t="b">
        <f>FALSE()</f>
        <v>0</v>
      </c>
      <c r="R27" s="3" t="b">
        <f>FALSE()</f>
        <v>0</v>
      </c>
      <c r="S27" s="3"/>
      <c r="T27" s="3"/>
    </row>
    <row r="28" spans="1:20" ht="15" customHeight="1" x14ac:dyDescent="0.25">
      <c r="A28" s="2" t="s">
        <v>122</v>
      </c>
      <c r="B28" s="2" t="s">
        <v>21</v>
      </c>
      <c r="C28" s="2" t="s">
        <v>22</v>
      </c>
      <c r="D28" s="2" t="s">
        <v>103</v>
      </c>
      <c r="E28" s="2" t="s">
        <v>123</v>
      </c>
      <c r="F28" s="2" t="s">
        <v>124</v>
      </c>
      <c r="G28" s="2"/>
      <c r="H28" s="2" t="s">
        <v>112</v>
      </c>
      <c r="I28" s="2">
        <v>418.56</v>
      </c>
      <c r="J28" s="2">
        <v>418.56</v>
      </c>
      <c r="K28" s="2"/>
      <c r="L28" s="2" t="s">
        <v>38</v>
      </c>
      <c r="M28" s="2">
        <v>113</v>
      </c>
      <c r="N28" s="2" t="b">
        <f>FALSE()</f>
        <v>0</v>
      </c>
      <c r="O28" s="2">
        <v>0</v>
      </c>
      <c r="P28" s="2">
        <v>0</v>
      </c>
      <c r="Q28" s="2" t="b">
        <f>FALSE()</f>
        <v>0</v>
      </c>
      <c r="R28" s="2" t="b">
        <f>FALSE()</f>
        <v>0</v>
      </c>
      <c r="S28" s="2" t="s">
        <v>113</v>
      </c>
      <c r="T28" s="2" t="s">
        <v>65</v>
      </c>
    </row>
    <row r="29" spans="1:20" ht="15" customHeight="1" x14ac:dyDescent="0.25">
      <c r="A29" s="3" t="s">
        <v>125</v>
      </c>
      <c r="B29" s="3" t="s">
        <v>89</v>
      </c>
      <c r="C29" s="3" t="s">
        <v>32</v>
      </c>
      <c r="D29" s="3" t="s">
        <v>103</v>
      </c>
      <c r="E29" s="3" t="s">
        <v>126</v>
      </c>
      <c r="F29" s="3" t="s">
        <v>127</v>
      </c>
      <c r="G29" s="3" t="s">
        <v>101</v>
      </c>
      <c r="H29" s="3" t="s">
        <v>27</v>
      </c>
      <c r="I29" s="3">
        <v>609.55999999999995</v>
      </c>
      <c r="J29" s="3">
        <v>0</v>
      </c>
      <c r="K29" s="3">
        <v>12</v>
      </c>
      <c r="L29" s="3" t="s">
        <v>28</v>
      </c>
      <c r="M29" s="3"/>
      <c r="N29" s="3" t="b">
        <f>FALSE()</f>
        <v>0</v>
      </c>
      <c r="O29" s="3">
        <v>0</v>
      </c>
      <c r="P29" s="3">
        <v>12.19</v>
      </c>
      <c r="Q29" s="3" t="b">
        <f>FALSE()</f>
        <v>0</v>
      </c>
      <c r="R29" s="3" t="b">
        <f>FALSE()</f>
        <v>0</v>
      </c>
      <c r="S29" s="3" t="s">
        <v>39</v>
      </c>
      <c r="T29" s="3" t="s">
        <v>40</v>
      </c>
    </row>
    <row r="30" spans="1:20" ht="15" customHeight="1" x14ac:dyDescent="0.25">
      <c r="A30" s="2" t="s">
        <v>128</v>
      </c>
      <c r="B30" s="2" t="s">
        <v>67</v>
      </c>
      <c r="C30" s="2" t="s">
        <v>68</v>
      </c>
      <c r="D30" s="2" t="s">
        <v>103</v>
      </c>
      <c r="E30" s="2" t="s">
        <v>56</v>
      </c>
      <c r="F30" s="2" t="s">
        <v>127</v>
      </c>
      <c r="G30" s="2"/>
      <c r="H30" s="2" t="s">
        <v>108</v>
      </c>
      <c r="I30" s="2">
        <v>0</v>
      </c>
      <c r="J30" s="2">
        <v>0</v>
      </c>
      <c r="K30" s="2"/>
      <c r="L30" s="2" t="s">
        <v>28</v>
      </c>
      <c r="M30" s="2"/>
      <c r="N30" s="2" t="b">
        <f>FALSE()</f>
        <v>0</v>
      </c>
      <c r="O30" s="2">
        <v>0</v>
      </c>
      <c r="P30" s="2">
        <v>0</v>
      </c>
      <c r="Q30" s="2" t="b">
        <f>FALSE()</f>
        <v>0</v>
      </c>
      <c r="R30" s="2" t="b">
        <f>FALSE()</f>
        <v>0</v>
      </c>
      <c r="S30" s="2" t="s">
        <v>109</v>
      </c>
      <c r="T30" s="2" t="s">
        <v>29</v>
      </c>
    </row>
    <row r="31" spans="1:20" ht="15" customHeight="1" x14ac:dyDescent="0.25">
      <c r="A31" s="3" t="s">
        <v>129</v>
      </c>
      <c r="B31" s="3" t="s">
        <v>21</v>
      </c>
      <c r="C31" s="3" t="s">
        <v>22</v>
      </c>
      <c r="D31" s="3" t="s">
        <v>103</v>
      </c>
      <c r="E31" s="3" t="s">
        <v>77</v>
      </c>
      <c r="F31" s="3" t="s">
        <v>130</v>
      </c>
      <c r="G31" s="3" t="s">
        <v>131</v>
      </c>
      <c r="H31" s="3" t="s">
        <v>27</v>
      </c>
      <c r="I31" s="3">
        <v>380.45</v>
      </c>
      <c r="J31" s="3">
        <v>0</v>
      </c>
      <c r="K31" s="3">
        <v>42</v>
      </c>
      <c r="L31" s="3" t="s">
        <v>28</v>
      </c>
      <c r="M31" s="3"/>
      <c r="N31" s="3" t="b">
        <f>TRUE()</f>
        <v>1</v>
      </c>
      <c r="O31" s="3">
        <v>0</v>
      </c>
      <c r="P31" s="3">
        <v>0</v>
      </c>
      <c r="Q31" s="3" t="b">
        <f>FALSE()</f>
        <v>0</v>
      </c>
      <c r="R31" s="3" t="b">
        <f>FALSE()</f>
        <v>0</v>
      </c>
      <c r="S31" s="3" t="s">
        <v>13</v>
      </c>
      <c r="T31" s="3" t="s">
        <v>29</v>
      </c>
    </row>
    <row r="32" spans="1:20" ht="15" customHeight="1" x14ac:dyDescent="0.25">
      <c r="A32" s="2" t="s">
        <v>132</v>
      </c>
      <c r="B32" s="2" t="s">
        <v>83</v>
      </c>
      <c r="C32" s="2" t="s">
        <v>22</v>
      </c>
      <c r="D32" s="2" t="s">
        <v>103</v>
      </c>
      <c r="E32" s="2" t="s">
        <v>77</v>
      </c>
      <c r="F32" s="2" t="s">
        <v>91</v>
      </c>
      <c r="G32" s="2"/>
      <c r="H32" s="2" t="s">
        <v>112</v>
      </c>
      <c r="I32" s="2">
        <v>661.57</v>
      </c>
      <c r="J32" s="2">
        <v>661.57</v>
      </c>
      <c r="K32" s="2"/>
      <c r="L32" s="2" t="s">
        <v>38</v>
      </c>
      <c r="M32" s="2">
        <v>124</v>
      </c>
      <c r="N32" s="2" t="b">
        <f>FALSE()</f>
        <v>0</v>
      </c>
      <c r="O32" s="2">
        <v>0</v>
      </c>
      <c r="P32" s="2">
        <v>0</v>
      </c>
      <c r="Q32" s="2" t="b">
        <f>FALSE()</f>
        <v>0</v>
      </c>
      <c r="R32" s="2" t="b">
        <f>FALSE()</f>
        <v>0</v>
      </c>
      <c r="S32" s="2" t="s">
        <v>113</v>
      </c>
      <c r="T32" s="2" t="s">
        <v>65</v>
      </c>
    </row>
    <row r="33" spans="1:20" ht="15" customHeight="1" x14ac:dyDescent="0.25">
      <c r="A33" s="3" t="s">
        <v>133</v>
      </c>
      <c r="B33" s="3" t="s">
        <v>46</v>
      </c>
      <c r="C33" s="3" t="s">
        <v>32</v>
      </c>
      <c r="D33" s="3" t="s">
        <v>103</v>
      </c>
      <c r="E33" s="3" t="s">
        <v>134</v>
      </c>
      <c r="F33" s="3" t="s">
        <v>121</v>
      </c>
      <c r="G33" s="3"/>
      <c r="H33" s="3" t="s">
        <v>112</v>
      </c>
      <c r="I33" s="3">
        <v>2242.02</v>
      </c>
      <c r="J33" s="3">
        <v>2242.02</v>
      </c>
      <c r="K33" s="3"/>
      <c r="L33" s="3" t="s">
        <v>38</v>
      </c>
      <c r="M33" s="3">
        <v>108</v>
      </c>
      <c r="N33" s="3" t="b">
        <f>FALSE()</f>
        <v>0</v>
      </c>
      <c r="O33" s="3">
        <v>0</v>
      </c>
      <c r="P33" s="3">
        <v>0</v>
      </c>
      <c r="Q33" s="3" t="b">
        <f>FALSE()</f>
        <v>0</v>
      </c>
      <c r="R33" s="3" t="b">
        <f>FALSE()</f>
        <v>0</v>
      </c>
      <c r="S33" s="3" t="s">
        <v>113</v>
      </c>
      <c r="T33" s="3" t="s">
        <v>65</v>
      </c>
    </row>
    <row r="34" spans="1:20" ht="15" customHeight="1" x14ac:dyDescent="0.25">
      <c r="A34" s="2" t="s">
        <v>135</v>
      </c>
      <c r="B34" s="2" t="s">
        <v>86</v>
      </c>
      <c r="C34" s="2" t="s">
        <v>22</v>
      </c>
      <c r="D34" s="2" t="s">
        <v>103</v>
      </c>
      <c r="E34" s="2" t="s">
        <v>136</v>
      </c>
      <c r="F34" s="2" t="s">
        <v>137</v>
      </c>
      <c r="G34" s="2" t="s">
        <v>138</v>
      </c>
      <c r="H34" s="2" t="s">
        <v>27</v>
      </c>
      <c r="I34" s="2">
        <v>4371.46</v>
      </c>
      <c r="J34" s="2">
        <v>0</v>
      </c>
      <c r="K34" s="2">
        <v>25</v>
      </c>
      <c r="L34" s="2" t="s">
        <v>28</v>
      </c>
      <c r="M34" s="2"/>
      <c r="N34" s="2" t="b">
        <f>FALSE()</f>
        <v>0</v>
      </c>
      <c r="O34" s="2">
        <v>0</v>
      </c>
      <c r="P34" s="2">
        <v>0</v>
      </c>
      <c r="Q34" s="2" t="b">
        <f>FALSE()</f>
        <v>0</v>
      </c>
      <c r="R34" s="2" t="b">
        <f>FALSE()</f>
        <v>0</v>
      </c>
      <c r="S34" s="2"/>
      <c r="T34" s="2"/>
    </row>
    <row r="35" spans="1:20" ht="15" customHeight="1" x14ac:dyDescent="0.25">
      <c r="A35" s="3" t="s">
        <v>139</v>
      </c>
      <c r="B35" s="3" t="s">
        <v>50</v>
      </c>
      <c r="C35" s="3" t="s">
        <v>22</v>
      </c>
      <c r="D35" s="3" t="s">
        <v>103</v>
      </c>
      <c r="E35" s="3" t="s">
        <v>76</v>
      </c>
      <c r="F35" s="3" t="s">
        <v>140</v>
      </c>
      <c r="G35" s="3"/>
      <c r="H35" s="3" t="s">
        <v>112</v>
      </c>
      <c r="I35" s="3">
        <v>1530.64</v>
      </c>
      <c r="J35" s="3">
        <v>1530.64</v>
      </c>
      <c r="K35" s="3"/>
      <c r="L35" s="3" t="s">
        <v>141</v>
      </c>
      <c r="M35" s="3">
        <v>85</v>
      </c>
      <c r="N35" s="3" t="b">
        <f>FALSE()</f>
        <v>0</v>
      </c>
      <c r="O35" s="3">
        <v>0</v>
      </c>
      <c r="P35" s="3">
        <v>0</v>
      </c>
      <c r="Q35" s="3" t="b">
        <f>FALSE()</f>
        <v>0</v>
      </c>
      <c r="R35" s="3" t="b">
        <f>FALSE()</f>
        <v>0</v>
      </c>
      <c r="S35" s="3" t="s">
        <v>113</v>
      </c>
      <c r="T35" s="3" t="s">
        <v>65</v>
      </c>
    </row>
    <row r="36" spans="1:20" ht="15" customHeight="1" x14ac:dyDescent="0.25">
      <c r="A36" s="2" t="s">
        <v>142</v>
      </c>
      <c r="B36" s="2" t="s">
        <v>75</v>
      </c>
      <c r="C36" s="2" t="s">
        <v>22</v>
      </c>
      <c r="D36" s="2" t="s">
        <v>103</v>
      </c>
      <c r="E36" s="2" t="s">
        <v>76</v>
      </c>
      <c r="F36" s="2" t="s">
        <v>143</v>
      </c>
      <c r="G36" s="2"/>
      <c r="H36" s="2" t="s">
        <v>112</v>
      </c>
      <c r="I36" s="2">
        <v>1358.95</v>
      </c>
      <c r="J36" s="2">
        <v>1358.95</v>
      </c>
      <c r="K36" s="2"/>
      <c r="L36" s="2" t="s">
        <v>38</v>
      </c>
      <c r="M36" s="2">
        <v>100</v>
      </c>
      <c r="N36" s="2" t="b">
        <f>FALSE()</f>
        <v>0</v>
      </c>
      <c r="O36" s="2">
        <v>0</v>
      </c>
      <c r="P36" s="2">
        <v>0</v>
      </c>
      <c r="Q36" s="2" t="b">
        <f>FALSE()</f>
        <v>0</v>
      </c>
      <c r="R36" s="2" t="b">
        <f>FALSE()</f>
        <v>0</v>
      </c>
      <c r="S36" s="2" t="s">
        <v>113</v>
      </c>
      <c r="T36" s="2" t="s">
        <v>65</v>
      </c>
    </row>
    <row r="37" spans="1:20" ht="15" customHeight="1" x14ac:dyDescent="0.25">
      <c r="A37" s="3" t="s">
        <v>144</v>
      </c>
      <c r="B37" s="3" t="s">
        <v>89</v>
      </c>
      <c r="C37" s="3" t="s">
        <v>32</v>
      </c>
      <c r="D37" s="3" t="s">
        <v>103</v>
      </c>
      <c r="E37" s="3" t="s">
        <v>145</v>
      </c>
      <c r="F37" s="3" t="s">
        <v>120</v>
      </c>
      <c r="G37" s="3"/>
      <c r="H37" s="3" t="s">
        <v>112</v>
      </c>
      <c r="I37" s="3">
        <v>691.72</v>
      </c>
      <c r="J37" s="3">
        <v>691.72</v>
      </c>
      <c r="K37" s="3"/>
      <c r="L37" s="3" t="s">
        <v>38</v>
      </c>
      <c r="M37" s="3">
        <v>99</v>
      </c>
      <c r="N37" s="3" t="b">
        <f>FALSE()</f>
        <v>0</v>
      </c>
      <c r="O37" s="3">
        <v>0</v>
      </c>
      <c r="P37" s="3">
        <v>13.83</v>
      </c>
      <c r="Q37" s="3" t="b">
        <f>FALSE()</f>
        <v>0</v>
      </c>
      <c r="R37" s="3" t="b">
        <f>FALSE()</f>
        <v>0</v>
      </c>
      <c r="S37" s="3" t="s">
        <v>39</v>
      </c>
      <c r="T37" s="3" t="s">
        <v>40</v>
      </c>
    </row>
    <row r="38" spans="1:20" ht="15" customHeight="1" x14ac:dyDescent="0.25">
      <c r="A38" s="2" t="s">
        <v>146</v>
      </c>
      <c r="B38" s="2" t="s">
        <v>83</v>
      </c>
      <c r="C38" s="2" t="s">
        <v>22</v>
      </c>
      <c r="D38" s="2" t="s">
        <v>103</v>
      </c>
      <c r="E38" s="2" t="s">
        <v>147</v>
      </c>
      <c r="F38" s="2" t="s">
        <v>138</v>
      </c>
      <c r="G38" s="2" t="s">
        <v>148</v>
      </c>
      <c r="H38" s="2" t="s">
        <v>27</v>
      </c>
      <c r="I38" s="2">
        <v>673.24</v>
      </c>
      <c r="J38" s="2">
        <v>0</v>
      </c>
      <c r="K38" s="2">
        <v>14</v>
      </c>
      <c r="L38" s="2" t="s">
        <v>28</v>
      </c>
      <c r="M38" s="2"/>
      <c r="N38" s="2" t="b">
        <f>FALSE()</f>
        <v>0</v>
      </c>
      <c r="O38" s="2">
        <v>0</v>
      </c>
      <c r="P38" s="2">
        <v>0</v>
      </c>
      <c r="Q38" s="2" t="b">
        <f>FALSE()</f>
        <v>0</v>
      </c>
      <c r="R38" s="2" t="b">
        <f>FALSE()</f>
        <v>0</v>
      </c>
      <c r="S38" s="2"/>
      <c r="T38" s="2"/>
    </row>
    <row r="39" spans="1:20" ht="15" customHeight="1" x14ac:dyDescent="0.25">
      <c r="A39" s="3" t="s">
        <v>149</v>
      </c>
      <c r="B39" s="3" t="s">
        <v>79</v>
      </c>
      <c r="C39" s="3" t="s">
        <v>32</v>
      </c>
      <c r="D39" s="3" t="s">
        <v>103</v>
      </c>
      <c r="E39" s="3" t="s">
        <v>147</v>
      </c>
      <c r="F39" s="3" t="s">
        <v>150</v>
      </c>
      <c r="G39" s="3"/>
      <c r="H39" s="3" t="s">
        <v>108</v>
      </c>
      <c r="I39" s="3">
        <v>0</v>
      </c>
      <c r="J39" s="3">
        <v>0</v>
      </c>
      <c r="K39" s="3"/>
      <c r="L39" s="3" t="s">
        <v>28</v>
      </c>
      <c r="M39" s="3"/>
      <c r="N39" s="3" t="b">
        <f>FALSE()</f>
        <v>0</v>
      </c>
      <c r="O39" s="3">
        <v>0</v>
      </c>
      <c r="P39" s="3">
        <v>0</v>
      </c>
      <c r="Q39" s="3" t="b">
        <f>FALSE()</f>
        <v>0</v>
      </c>
      <c r="R39" s="3" t="b">
        <f>FALSE()</f>
        <v>0</v>
      </c>
      <c r="S39" s="3" t="s">
        <v>109</v>
      </c>
      <c r="T39" s="3" t="s">
        <v>29</v>
      </c>
    </row>
    <row r="40" spans="1:20" ht="15" customHeight="1" x14ac:dyDescent="0.25">
      <c r="A40" s="2" t="s">
        <v>151</v>
      </c>
      <c r="B40" s="2" t="s">
        <v>79</v>
      </c>
      <c r="C40" s="2" t="s">
        <v>32</v>
      </c>
      <c r="D40" s="2" t="s">
        <v>103</v>
      </c>
      <c r="E40" s="2" t="s">
        <v>101</v>
      </c>
      <c r="F40" s="2" t="s">
        <v>150</v>
      </c>
      <c r="G40" s="2" t="s">
        <v>143</v>
      </c>
      <c r="H40" s="2" t="s">
        <v>27</v>
      </c>
      <c r="I40" s="2">
        <v>426.05</v>
      </c>
      <c r="J40" s="2">
        <v>0</v>
      </c>
      <c r="K40" s="2">
        <v>26</v>
      </c>
      <c r="L40" s="2" t="s">
        <v>28</v>
      </c>
      <c r="M40" s="2"/>
      <c r="N40" s="2" t="b">
        <f>FALSE()</f>
        <v>0</v>
      </c>
      <c r="O40" s="2">
        <v>0</v>
      </c>
      <c r="P40" s="2">
        <v>0</v>
      </c>
      <c r="Q40" s="2" t="b">
        <f>FALSE()</f>
        <v>0</v>
      </c>
      <c r="R40" s="2" t="b">
        <f>FALSE()</f>
        <v>0</v>
      </c>
      <c r="S40" s="2"/>
      <c r="T40" s="2"/>
    </row>
    <row r="41" spans="1:20" ht="15" customHeight="1" x14ac:dyDescent="0.25">
      <c r="A41" s="3" t="s">
        <v>152</v>
      </c>
      <c r="B41" s="3" t="s">
        <v>31</v>
      </c>
      <c r="C41" s="3" t="s">
        <v>32</v>
      </c>
      <c r="D41" s="3" t="s">
        <v>103</v>
      </c>
      <c r="E41" s="3" t="s">
        <v>153</v>
      </c>
      <c r="F41" s="3" t="s">
        <v>154</v>
      </c>
      <c r="G41" s="3"/>
      <c r="H41" s="3" t="s">
        <v>112</v>
      </c>
      <c r="I41" s="3">
        <v>1754.93</v>
      </c>
      <c r="J41" s="3">
        <v>1754.93</v>
      </c>
      <c r="K41" s="3"/>
      <c r="L41" s="3" t="s">
        <v>38</v>
      </c>
      <c r="M41" s="3">
        <v>94</v>
      </c>
      <c r="N41" s="3" t="b">
        <f>FALSE()</f>
        <v>0</v>
      </c>
      <c r="O41" s="3">
        <v>0</v>
      </c>
      <c r="P41" s="3">
        <v>0</v>
      </c>
      <c r="Q41" s="3" t="b">
        <f>FALSE()</f>
        <v>0</v>
      </c>
      <c r="R41" s="3" t="b">
        <f>FALSE()</f>
        <v>0</v>
      </c>
      <c r="S41" s="3" t="s">
        <v>113</v>
      </c>
      <c r="T41" s="3" t="s">
        <v>65</v>
      </c>
    </row>
    <row r="42" spans="1:20" ht="15" customHeight="1" x14ac:dyDescent="0.25">
      <c r="A42" s="2" t="s">
        <v>155</v>
      </c>
      <c r="B42" s="2" t="s">
        <v>54</v>
      </c>
      <c r="C42" s="2" t="s">
        <v>32</v>
      </c>
      <c r="D42" s="2" t="s">
        <v>103</v>
      </c>
      <c r="E42" s="2" t="s">
        <v>91</v>
      </c>
      <c r="F42" s="2" t="s">
        <v>156</v>
      </c>
      <c r="G42" s="2" t="s">
        <v>124</v>
      </c>
      <c r="H42" s="2" t="s">
        <v>27</v>
      </c>
      <c r="I42" s="2">
        <v>2311.69</v>
      </c>
      <c r="J42" s="2">
        <v>0</v>
      </c>
      <c r="K42" s="2">
        <v>10</v>
      </c>
      <c r="L42" s="2" t="s">
        <v>28</v>
      </c>
      <c r="M42" s="2"/>
      <c r="N42" s="2" t="b">
        <f>FALSE()</f>
        <v>0</v>
      </c>
      <c r="O42" s="2">
        <v>0</v>
      </c>
      <c r="P42" s="2">
        <v>0</v>
      </c>
      <c r="Q42" s="2" t="b">
        <f>FALSE()</f>
        <v>0</v>
      </c>
      <c r="R42" s="2" t="b">
        <f>FALSE()</f>
        <v>0</v>
      </c>
      <c r="S42" s="2"/>
      <c r="T42" s="2"/>
    </row>
    <row r="43" spans="1:20" ht="15" customHeight="1" x14ac:dyDescent="0.25">
      <c r="A43" s="3" t="s">
        <v>157</v>
      </c>
      <c r="B43" s="3" t="s">
        <v>35</v>
      </c>
      <c r="C43" s="3" t="s">
        <v>32</v>
      </c>
      <c r="D43" s="3" t="s">
        <v>103</v>
      </c>
      <c r="E43" s="3" t="s">
        <v>91</v>
      </c>
      <c r="F43" s="3" t="s">
        <v>156</v>
      </c>
      <c r="G43" s="3" t="s">
        <v>158</v>
      </c>
      <c r="H43" s="3" t="s">
        <v>27</v>
      </c>
      <c r="I43" s="3">
        <v>2823.59</v>
      </c>
      <c r="J43" s="3">
        <v>0</v>
      </c>
      <c r="K43" s="3">
        <v>22</v>
      </c>
      <c r="L43" s="3" t="s">
        <v>28</v>
      </c>
      <c r="M43" s="3"/>
      <c r="N43" s="3" t="b">
        <f>FALSE()</f>
        <v>0</v>
      </c>
      <c r="O43" s="3">
        <v>0</v>
      </c>
      <c r="P43" s="3">
        <v>56.47</v>
      </c>
      <c r="Q43" s="3" t="b">
        <f>FALSE()</f>
        <v>0</v>
      </c>
      <c r="R43" s="3" t="b">
        <f>FALSE()</f>
        <v>0</v>
      </c>
      <c r="S43" s="3" t="s">
        <v>39</v>
      </c>
      <c r="T43" s="3" t="s">
        <v>40</v>
      </c>
    </row>
    <row r="44" spans="1:20" ht="15" customHeight="1" x14ac:dyDescent="0.25">
      <c r="A44" s="2" t="s">
        <v>159</v>
      </c>
      <c r="B44" s="2" t="s">
        <v>46</v>
      </c>
      <c r="C44" s="2" t="s">
        <v>32</v>
      </c>
      <c r="D44" s="2" t="s">
        <v>160</v>
      </c>
      <c r="E44" s="2" t="s">
        <v>161</v>
      </c>
      <c r="F44" s="2" t="s">
        <v>162</v>
      </c>
      <c r="G44" s="2" t="s">
        <v>154</v>
      </c>
      <c r="H44" s="2" t="s">
        <v>27</v>
      </c>
      <c r="I44" s="2">
        <v>3091.59</v>
      </c>
      <c r="J44" s="2">
        <v>0</v>
      </c>
      <c r="K44" s="2">
        <v>24</v>
      </c>
      <c r="L44" s="2" t="s">
        <v>28</v>
      </c>
      <c r="M44" s="2"/>
      <c r="N44" s="2" t="b">
        <f>FALSE()</f>
        <v>0</v>
      </c>
      <c r="O44" s="2">
        <v>0</v>
      </c>
      <c r="P44" s="2">
        <v>0</v>
      </c>
      <c r="Q44" s="2" t="b">
        <f>FALSE()</f>
        <v>0</v>
      </c>
      <c r="R44" s="2" t="b">
        <f>FALSE()</f>
        <v>0</v>
      </c>
      <c r="S44" s="2"/>
      <c r="T44" s="2"/>
    </row>
    <row r="45" spans="1:20" ht="15" customHeight="1" x14ac:dyDescent="0.25">
      <c r="A45" s="3" t="s">
        <v>163</v>
      </c>
      <c r="B45" s="3" t="s">
        <v>96</v>
      </c>
      <c r="C45" s="3" t="s">
        <v>32</v>
      </c>
      <c r="D45" s="3" t="s">
        <v>160</v>
      </c>
      <c r="E45" s="3" t="s">
        <v>107</v>
      </c>
      <c r="F45" s="3" t="s">
        <v>164</v>
      </c>
      <c r="G45" s="3" t="s">
        <v>165</v>
      </c>
      <c r="H45" s="3" t="s">
        <v>27</v>
      </c>
      <c r="I45" s="3">
        <v>1105.1300000000001</v>
      </c>
      <c r="J45" s="3">
        <v>0</v>
      </c>
      <c r="K45" s="3">
        <v>42</v>
      </c>
      <c r="L45" s="3" t="s">
        <v>28</v>
      </c>
      <c r="M45" s="3"/>
      <c r="N45" s="3" t="b">
        <f>TRUE()</f>
        <v>1</v>
      </c>
      <c r="O45" s="3">
        <v>0</v>
      </c>
      <c r="P45" s="3">
        <v>0</v>
      </c>
      <c r="Q45" s="3" t="b">
        <f>FALSE()</f>
        <v>0</v>
      </c>
      <c r="R45" s="3" t="b">
        <f>FALSE()</f>
        <v>0</v>
      </c>
      <c r="S45" s="3" t="s">
        <v>13</v>
      </c>
      <c r="T45" s="3" t="s">
        <v>29</v>
      </c>
    </row>
    <row r="46" spans="1:20" ht="15" customHeight="1" x14ac:dyDescent="0.25">
      <c r="A46" s="2" t="s">
        <v>166</v>
      </c>
      <c r="B46" s="2" t="s">
        <v>75</v>
      </c>
      <c r="C46" s="2" t="s">
        <v>22</v>
      </c>
      <c r="D46" s="2" t="s">
        <v>160</v>
      </c>
      <c r="E46" s="2" t="s">
        <v>107</v>
      </c>
      <c r="F46" s="2" t="s">
        <v>164</v>
      </c>
      <c r="G46" s="2" t="s">
        <v>150</v>
      </c>
      <c r="H46" s="2" t="s">
        <v>27</v>
      </c>
      <c r="I46" s="2">
        <v>4713.05</v>
      </c>
      <c r="J46" s="2">
        <v>0</v>
      </c>
      <c r="K46" s="2">
        <v>16</v>
      </c>
      <c r="L46" s="2" t="s">
        <v>28</v>
      </c>
      <c r="M46" s="2"/>
      <c r="N46" s="2" t="b">
        <f>FALSE()</f>
        <v>0</v>
      </c>
      <c r="O46" s="2">
        <v>0</v>
      </c>
      <c r="P46" s="2">
        <v>0</v>
      </c>
      <c r="Q46" s="2" t="b">
        <f>FALSE()</f>
        <v>0</v>
      </c>
      <c r="R46" s="2" t="b">
        <f>FALSE()</f>
        <v>0</v>
      </c>
      <c r="S46" s="2"/>
      <c r="T46" s="2"/>
    </row>
    <row r="47" spans="1:20" ht="15" customHeight="1" x14ac:dyDescent="0.25">
      <c r="A47" s="3" t="s">
        <v>167</v>
      </c>
      <c r="B47" s="3" t="s">
        <v>86</v>
      </c>
      <c r="C47" s="3" t="s">
        <v>22</v>
      </c>
      <c r="D47" s="3" t="s">
        <v>160</v>
      </c>
      <c r="E47" s="3" t="s">
        <v>115</v>
      </c>
      <c r="F47" s="3" t="s">
        <v>164</v>
      </c>
      <c r="G47" s="3"/>
      <c r="H47" s="3" t="s">
        <v>112</v>
      </c>
      <c r="I47" s="3">
        <v>4248.49</v>
      </c>
      <c r="J47" s="3">
        <v>4248.49</v>
      </c>
      <c r="K47" s="3"/>
      <c r="L47" s="3" t="s">
        <v>141</v>
      </c>
      <c r="M47" s="3">
        <v>82</v>
      </c>
      <c r="N47" s="3" t="b">
        <f>FALSE()</f>
        <v>0</v>
      </c>
      <c r="O47" s="3">
        <v>0</v>
      </c>
      <c r="P47" s="3">
        <v>0</v>
      </c>
      <c r="Q47" s="3" t="b">
        <f>FALSE()</f>
        <v>0</v>
      </c>
      <c r="R47" s="3" t="b">
        <f>FALSE()</f>
        <v>0</v>
      </c>
      <c r="S47" s="3" t="s">
        <v>113</v>
      </c>
      <c r="T47" s="3" t="s">
        <v>65</v>
      </c>
    </row>
    <row r="48" spans="1:20" ht="15" customHeight="1" x14ac:dyDescent="0.25">
      <c r="A48" s="2" t="s">
        <v>168</v>
      </c>
      <c r="B48" s="2" t="s">
        <v>35</v>
      </c>
      <c r="C48" s="2" t="s">
        <v>32</v>
      </c>
      <c r="D48" s="2" t="s">
        <v>160</v>
      </c>
      <c r="E48" s="2" t="s">
        <v>124</v>
      </c>
      <c r="F48" s="2" t="s">
        <v>164</v>
      </c>
      <c r="G48" s="2"/>
      <c r="H48" s="2" t="s">
        <v>112</v>
      </c>
      <c r="I48" s="2">
        <v>3132.97</v>
      </c>
      <c r="J48" s="2">
        <v>3132.97</v>
      </c>
      <c r="K48" s="2"/>
      <c r="L48" s="2" t="s">
        <v>141</v>
      </c>
      <c r="M48" s="2">
        <v>82</v>
      </c>
      <c r="N48" s="2" t="b">
        <f>FALSE()</f>
        <v>0</v>
      </c>
      <c r="O48" s="2">
        <v>0</v>
      </c>
      <c r="P48" s="2">
        <v>62.66</v>
      </c>
      <c r="Q48" s="2" t="b">
        <f>FALSE()</f>
        <v>0</v>
      </c>
      <c r="R48" s="2" t="b">
        <f>FALSE()</f>
        <v>0</v>
      </c>
      <c r="S48" s="2" t="s">
        <v>39</v>
      </c>
      <c r="T48" s="2" t="s">
        <v>40</v>
      </c>
    </row>
    <row r="49" spans="1:20" ht="15" customHeight="1" x14ac:dyDescent="0.25">
      <c r="A49" s="3" t="s">
        <v>169</v>
      </c>
      <c r="B49" s="3" t="s">
        <v>79</v>
      </c>
      <c r="C49" s="3" t="s">
        <v>32</v>
      </c>
      <c r="D49" s="3" t="s">
        <v>160</v>
      </c>
      <c r="E49" s="3" t="s">
        <v>148</v>
      </c>
      <c r="F49" s="3" t="s">
        <v>170</v>
      </c>
      <c r="G49" s="3" t="s">
        <v>171</v>
      </c>
      <c r="H49" s="3" t="s">
        <v>27</v>
      </c>
      <c r="I49" s="3">
        <v>786.45</v>
      </c>
      <c r="J49" s="3">
        <v>0</v>
      </c>
      <c r="K49" s="3">
        <v>7</v>
      </c>
      <c r="L49" s="3" t="s">
        <v>28</v>
      </c>
      <c r="M49" s="3"/>
      <c r="N49" s="3" t="b">
        <f>FALSE()</f>
        <v>0</v>
      </c>
      <c r="O49" s="3">
        <v>0</v>
      </c>
      <c r="P49" s="3">
        <v>0</v>
      </c>
      <c r="Q49" s="3" t="b">
        <f>FALSE()</f>
        <v>0</v>
      </c>
      <c r="R49" s="3" t="b">
        <f>FALSE()</f>
        <v>0</v>
      </c>
      <c r="S49" s="3"/>
      <c r="T49" s="3"/>
    </row>
    <row r="50" spans="1:20" ht="15" customHeight="1" x14ac:dyDescent="0.25">
      <c r="A50" s="2" t="s">
        <v>172</v>
      </c>
      <c r="B50" s="2" t="s">
        <v>93</v>
      </c>
      <c r="C50" s="2" t="s">
        <v>94</v>
      </c>
      <c r="D50" s="2" t="s">
        <v>160</v>
      </c>
      <c r="E50" s="2" t="s">
        <v>127</v>
      </c>
      <c r="F50" s="2" t="s">
        <v>173</v>
      </c>
      <c r="G50" s="2" t="s">
        <v>174</v>
      </c>
      <c r="H50" s="2" t="s">
        <v>27</v>
      </c>
      <c r="I50" s="2">
        <v>364.86</v>
      </c>
      <c r="J50" s="2">
        <v>0</v>
      </c>
      <c r="K50" s="2">
        <v>14</v>
      </c>
      <c r="L50" s="2" t="s">
        <v>28</v>
      </c>
      <c r="M50" s="2"/>
      <c r="N50" s="2" t="b">
        <f>FALSE()</f>
        <v>0</v>
      </c>
      <c r="O50" s="2">
        <v>0</v>
      </c>
      <c r="P50" s="2">
        <v>0</v>
      </c>
      <c r="Q50" s="2" t="b">
        <f>FALSE()</f>
        <v>0</v>
      </c>
      <c r="R50" s="2" t="b">
        <f>FALSE()</f>
        <v>0</v>
      </c>
      <c r="S50" s="2"/>
      <c r="T50" s="2"/>
    </row>
    <row r="51" spans="1:20" ht="15" customHeight="1" x14ac:dyDescent="0.25">
      <c r="A51" s="3" t="s">
        <v>175</v>
      </c>
      <c r="B51" s="3" t="s">
        <v>96</v>
      </c>
      <c r="C51" s="3" t="s">
        <v>32</v>
      </c>
      <c r="D51" s="3" t="s">
        <v>160</v>
      </c>
      <c r="E51" s="3" t="s">
        <v>130</v>
      </c>
      <c r="F51" s="3" t="s">
        <v>176</v>
      </c>
      <c r="G51" s="3"/>
      <c r="H51" s="3" t="s">
        <v>112</v>
      </c>
      <c r="I51" s="3">
        <v>577.95000000000005</v>
      </c>
      <c r="J51" s="3">
        <v>577.95000000000005</v>
      </c>
      <c r="K51" s="3"/>
      <c r="L51" s="3" t="s">
        <v>141</v>
      </c>
      <c r="M51" s="3">
        <v>78</v>
      </c>
      <c r="N51" s="3" t="b">
        <f>FALSE()</f>
        <v>0</v>
      </c>
      <c r="O51" s="3">
        <v>0</v>
      </c>
      <c r="P51" s="3">
        <v>0</v>
      </c>
      <c r="Q51" s="3" t="b">
        <f>FALSE()</f>
        <v>0</v>
      </c>
      <c r="R51" s="3" t="b">
        <f>FALSE()</f>
        <v>0</v>
      </c>
      <c r="S51" s="3" t="s">
        <v>113</v>
      </c>
      <c r="T51" s="3" t="s">
        <v>65</v>
      </c>
    </row>
    <row r="52" spans="1:20" ht="15" customHeight="1" x14ac:dyDescent="0.25">
      <c r="A52" s="2" t="s">
        <v>177</v>
      </c>
      <c r="B52" s="2" t="s">
        <v>21</v>
      </c>
      <c r="C52" s="2" t="s">
        <v>22</v>
      </c>
      <c r="D52" s="2" t="s">
        <v>160</v>
      </c>
      <c r="E52" s="2" t="s">
        <v>121</v>
      </c>
      <c r="F52" s="2" t="s">
        <v>178</v>
      </c>
      <c r="G52" s="2"/>
      <c r="H52" s="2" t="s">
        <v>112</v>
      </c>
      <c r="I52" s="2">
        <v>508.29</v>
      </c>
      <c r="J52" s="2">
        <v>508.29</v>
      </c>
      <c r="K52" s="2"/>
      <c r="L52" s="2" t="s">
        <v>141</v>
      </c>
      <c r="M52" s="2">
        <v>75</v>
      </c>
      <c r="N52" s="2" t="b">
        <f>FALSE()</f>
        <v>0</v>
      </c>
      <c r="O52" s="2">
        <v>0</v>
      </c>
      <c r="P52" s="2">
        <v>0</v>
      </c>
      <c r="Q52" s="2" t="b">
        <f>FALSE()</f>
        <v>0</v>
      </c>
      <c r="R52" s="2" t="b">
        <f>FALSE()</f>
        <v>0</v>
      </c>
      <c r="S52" s="2" t="s">
        <v>113</v>
      </c>
      <c r="T52" s="2" t="s">
        <v>65</v>
      </c>
    </row>
    <row r="53" spans="1:20" ht="15" customHeight="1" x14ac:dyDescent="0.25">
      <c r="A53" s="3" t="s">
        <v>179</v>
      </c>
      <c r="B53" s="3" t="s">
        <v>79</v>
      </c>
      <c r="C53" s="3" t="s">
        <v>32</v>
      </c>
      <c r="D53" s="3" t="s">
        <v>160</v>
      </c>
      <c r="E53" s="3" t="s">
        <v>121</v>
      </c>
      <c r="F53" s="3" t="s">
        <v>178</v>
      </c>
      <c r="G53" s="3" t="s">
        <v>131</v>
      </c>
      <c r="H53" s="3" t="s">
        <v>37</v>
      </c>
      <c r="I53" s="3">
        <v>576.17999999999995</v>
      </c>
      <c r="J53" s="3">
        <v>288.08999999999997</v>
      </c>
      <c r="K53" s="3"/>
      <c r="L53" s="3" t="s">
        <v>141</v>
      </c>
      <c r="M53" s="3">
        <v>75</v>
      </c>
      <c r="N53" s="3" t="b">
        <f>FALSE()</f>
        <v>0</v>
      </c>
      <c r="O53" s="3">
        <v>0</v>
      </c>
      <c r="P53" s="3">
        <v>0</v>
      </c>
      <c r="Q53" s="3" t="b">
        <f>FALSE()</f>
        <v>0</v>
      </c>
      <c r="R53" s="3" t="b">
        <f>FALSE()</f>
        <v>0</v>
      </c>
      <c r="S53" s="3" t="s">
        <v>113</v>
      </c>
      <c r="T53" s="3" t="s">
        <v>65</v>
      </c>
    </row>
    <row r="54" spans="1:20" ht="15" customHeight="1" x14ac:dyDescent="0.25">
      <c r="A54" s="2" t="s">
        <v>180</v>
      </c>
      <c r="B54" s="2" t="s">
        <v>67</v>
      </c>
      <c r="C54" s="2" t="s">
        <v>68</v>
      </c>
      <c r="D54" s="2" t="s">
        <v>160</v>
      </c>
      <c r="E54" s="2" t="s">
        <v>121</v>
      </c>
      <c r="F54" s="2" t="s">
        <v>178</v>
      </c>
      <c r="G54" s="2"/>
      <c r="H54" s="2" t="s">
        <v>112</v>
      </c>
      <c r="I54" s="2">
        <v>578.91999999999996</v>
      </c>
      <c r="J54" s="2">
        <v>578.91999999999996</v>
      </c>
      <c r="K54" s="2"/>
      <c r="L54" s="2" t="s">
        <v>141</v>
      </c>
      <c r="M54" s="2">
        <v>75</v>
      </c>
      <c r="N54" s="2" t="b">
        <f>FALSE()</f>
        <v>0</v>
      </c>
      <c r="O54" s="2">
        <v>0</v>
      </c>
      <c r="P54" s="2">
        <v>0</v>
      </c>
      <c r="Q54" s="2" t="b">
        <f>FALSE()</f>
        <v>0</v>
      </c>
      <c r="R54" s="2" t="b">
        <f>FALSE()</f>
        <v>0</v>
      </c>
      <c r="S54" s="2" t="s">
        <v>113</v>
      </c>
      <c r="T54" s="2" t="s">
        <v>65</v>
      </c>
    </row>
    <row r="55" spans="1:20" ht="15" customHeight="1" x14ac:dyDescent="0.25">
      <c r="A55" s="3" t="s">
        <v>181</v>
      </c>
      <c r="B55" s="3" t="s">
        <v>54</v>
      </c>
      <c r="C55" s="3" t="s">
        <v>32</v>
      </c>
      <c r="D55" s="3" t="s">
        <v>160</v>
      </c>
      <c r="E55" s="3" t="s">
        <v>137</v>
      </c>
      <c r="F55" s="3" t="s">
        <v>178</v>
      </c>
      <c r="G55" s="3"/>
      <c r="H55" s="3" t="s">
        <v>63</v>
      </c>
      <c r="I55" s="3">
        <v>2582.09</v>
      </c>
      <c r="J55" s="3">
        <v>2582.09</v>
      </c>
      <c r="K55" s="3"/>
      <c r="L55" s="3" t="s">
        <v>141</v>
      </c>
      <c r="M55" s="3">
        <v>75</v>
      </c>
      <c r="N55" s="3" t="b">
        <f>FALSE()</f>
        <v>0</v>
      </c>
      <c r="O55" s="3">
        <v>0</v>
      </c>
      <c r="P55" s="3">
        <v>0</v>
      </c>
      <c r="Q55" s="3" t="b">
        <f>TRUE()</f>
        <v>1</v>
      </c>
      <c r="R55" s="3" t="b">
        <f>FALSE()</f>
        <v>0</v>
      </c>
      <c r="S55" s="3" t="s">
        <v>64</v>
      </c>
      <c r="T55" s="3" t="s">
        <v>65</v>
      </c>
    </row>
    <row r="56" spans="1:20" ht="15" customHeight="1" x14ac:dyDescent="0.25">
      <c r="A56" s="2" t="s">
        <v>182</v>
      </c>
      <c r="B56" s="2" t="s">
        <v>50</v>
      </c>
      <c r="C56" s="2" t="s">
        <v>22</v>
      </c>
      <c r="D56" s="2" t="s">
        <v>160</v>
      </c>
      <c r="E56" s="2" t="s">
        <v>183</v>
      </c>
      <c r="F56" s="2" t="s">
        <v>184</v>
      </c>
      <c r="G56" s="2"/>
      <c r="H56" s="2" t="s">
        <v>112</v>
      </c>
      <c r="I56" s="2">
        <v>1477.39</v>
      </c>
      <c r="J56" s="2">
        <v>1477.39</v>
      </c>
      <c r="K56" s="2"/>
      <c r="L56" s="2" t="s">
        <v>185</v>
      </c>
      <c r="M56" s="2">
        <v>57</v>
      </c>
      <c r="N56" s="2" t="b">
        <f>FALSE()</f>
        <v>0</v>
      </c>
      <c r="O56" s="2">
        <v>0</v>
      </c>
      <c r="P56" s="2">
        <v>0</v>
      </c>
      <c r="Q56" s="2" t="b">
        <f>FALSE()</f>
        <v>0</v>
      </c>
      <c r="R56" s="2" t="b">
        <f>FALSE()</f>
        <v>0</v>
      </c>
      <c r="S56" s="2" t="s">
        <v>113</v>
      </c>
      <c r="T56" s="2" t="s">
        <v>65</v>
      </c>
    </row>
    <row r="57" spans="1:20" ht="15" customHeight="1" x14ac:dyDescent="0.25">
      <c r="A57" s="3" t="s">
        <v>186</v>
      </c>
      <c r="B57" s="3" t="s">
        <v>31</v>
      </c>
      <c r="C57" s="3" t="s">
        <v>32</v>
      </c>
      <c r="D57" s="3" t="s">
        <v>160</v>
      </c>
      <c r="E57" s="3" t="s">
        <v>158</v>
      </c>
      <c r="F57" s="3" t="s">
        <v>187</v>
      </c>
      <c r="G57" s="3" t="s">
        <v>188</v>
      </c>
      <c r="H57" s="3" t="s">
        <v>27</v>
      </c>
      <c r="I57" s="3">
        <v>1552.23</v>
      </c>
      <c r="J57" s="3">
        <v>0</v>
      </c>
      <c r="K57" s="3">
        <v>35</v>
      </c>
      <c r="L57" s="3" t="s">
        <v>28</v>
      </c>
      <c r="M57" s="3"/>
      <c r="N57" s="3" t="b">
        <f>TRUE()</f>
        <v>1</v>
      </c>
      <c r="O57" s="3">
        <v>0</v>
      </c>
      <c r="P57" s="3">
        <v>0</v>
      </c>
      <c r="Q57" s="3" t="b">
        <f>FALSE()</f>
        <v>0</v>
      </c>
      <c r="R57" s="3" t="b">
        <f>FALSE()</f>
        <v>0</v>
      </c>
      <c r="S57" s="3" t="s">
        <v>13</v>
      </c>
      <c r="T57" s="3" t="s">
        <v>29</v>
      </c>
    </row>
    <row r="58" spans="1:20" ht="15" customHeight="1" x14ac:dyDescent="0.25">
      <c r="A58" s="2" t="s">
        <v>189</v>
      </c>
      <c r="B58" s="2" t="s">
        <v>54</v>
      </c>
      <c r="C58" s="2" t="s">
        <v>32</v>
      </c>
      <c r="D58" s="2" t="s">
        <v>160</v>
      </c>
      <c r="E58" s="2" t="s">
        <v>143</v>
      </c>
      <c r="F58" s="2" t="s">
        <v>187</v>
      </c>
      <c r="G58" s="2" t="s">
        <v>190</v>
      </c>
      <c r="H58" s="2" t="s">
        <v>27</v>
      </c>
      <c r="I58" s="2">
        <v>1748.09</v>
      </c>
      <c r="J58" s="2">
        <v>0</v>
      </c>
      <c r="K58" s="2">
        <v>8</v>
      </c>
      <c r="L58" s="2" t="s">
        <v>28</v>
      </c>
      <c r="M58" s="2"/>
      <c r="N58" s="2" t="b">
        <f>FALSE()</f>
        <v>0</v>
      </c>
      <c r="O58" s="2">
        <v>0</v>
      </c>
      <c r="P58" s="2">
        <v>0</v>
      </c>
      <c r="Q58" s="2" t="b">
        <f>FALSE()</f>
        <v>0</v>
      </c>
      <c r="R58" s="2" t="b">
        <f>FALSE()</f>
        <v>0</v>
      </c>
      <c r="S58" s="2"/>
      <c r="T58" s="2"/>
    </row>
    <row r="59" spans="1:20" ht="15" customHeight="1" x14ac:dyDescent="0.25">
      <c r="A59" s="3" t="s">
        <v>191</v>
      </c>
      <c r="B59" s="3" t="s">
        <v>86</v>
      </c>
      <c r="C59" s="3" t="s">
        <v>22</v>
      </c>
      <c r="D59" s="3" t="s">
        <v>160</v>
      </c>
      <c r="E59" s="3" t="s">
        <v>120</v>
      </c>
      <c r="F59" s="3" t="s">
        <v>187</v>
      </c>
      <c r="G59" s="3"/>
      <c r="H59" s="3" t="s">
        <v>112</v>
      </c>
      <c r="I59" s="3">
        <v>4928.37</v>
      </c>
      <c r="J59" s="3">
        <v>4928.37</v>
      </c>
      <c r="K59" s="3"/>
      <c r="L59" s="3" t="s">
        <v>141</v>
      </c>
      <c r="M59" s="3">
        <v>68</v>
      </c>
      <c r="N59" s="3" t="b">
        <f>FALSE()</f>
        <v>0</v>
      </c>
      <c r="O59" s="3">
        <v>0</v>
      </c>
      <c r="P59" s="3">
        <v>0</v>
      </c>
      <c r="Q59" s="3" t="b">
        <f>FALSE()</f>
        <v>0</v>
      </c>
      <c r="R59" s="3" t="b">
        <f>FALSE()</f>
        <v>0</v>
      </c>
      <c r="S59" s="3" t="s">
        <v>113</v>
      </c>
      <c r="T59" s="3" t="s">
        <v>65</v>
      </c>
    </row>
    <row r="60" spans="1:20" ht="15" customHeight="1" x14ac:dyDescent="0.25">
      <c r="A60" s="2" t="s">
        <v>192</v>
      </c>
      <c r="B60" s="2" t="s">
        <v>83</v>
      </c>
      <c r="C60" s="2" t="s">
        <v>22</v>
      </c>
      <c r="D60" s="2" t="s">
        <v>160</v>
      </c>
      <c r="E60" s="2" t="s">
        <v>120</v>
      </c>
      <c r="F60" s="2" t="s">
        <v>193</v>
      </c>
      <c r="G60" s="2"/>
      <c r="H60" s="2" t="s">
        <v>112</v>
      </c>
      <c r="I60" s="2">
        <v>514.49</v>
      </c>
      <c r="J60" s="2">
        <v>514.49</v>
      </c>
      <c r="K60" s="2"/>
      <c r="L60" s="2" t="s">
        <v>141</v>
      </c>
      <c r="M60" s="2">
        <v>83</v>
      </c>
      <c r="N60" s="2" t="b">
        <f>FALSE()</f>
        <v>0</v>
      </c>
      <c r="O60" s="2">
        <v>0</v>
      </c>
      <c r="P60" s="2">
        <v>0</v>
      </c>
      <c r="Q60" s="2" t="b">
        <f>FALSE()</f>
        <v>0</v>
      </c>
      <c r="R60" s="2" t="b">
        <f>FALSE()</f>
        <v>0</v>
      </c>
      <c r="S60" s="2" t="s">
        <v>113</v>
      </c>
      <c r="T60" s="2" t="s">
        <v>65</v>
      </c>
    </row>
    <row r="61" spans="1:20" ht="15" customHeight="1" x14ac:dyDescent="0.25">
      <c r="A61" s="3" t="s">
        <v>194</v>
      </c>
      <c r="B61" s="3" t="s">
        <v>89</v>
      </c>
      <c r="C61" s="3" t="s">
        <v>32</v>
      </c>
      <c r="D61" s="3" t="s">
        <v>160</v>
      </c>
      <c r="E61" s="3" t="s">
        <v>120</v>
      </c>
      <c r="F61" s="3" t="s">
        <v>187</v>
      </c>
      <c r="G61" s="3"/>
      <c r="H61" s="3" t="s">
        <v>112</v>
      </c>
      <c r="I61" s="3">
        <v>1151.3900000000001</v>
      </c>
      <c r="J61" s="3">
        <v>1151.3900000000001</v>
      </c>
      <c r="K61" s="3"/>
      <c r="L61" s="3" t="s">
        <v>141</v>
      </c>
      <c r="M61" s="3">
        <v>68</v>
      </c>
      <c r="N61" s="3" t="b">
        <f>FALSE()</f>
        <v>0</v>
      </c>
      <c r="O61" s="3">
        <v>0</v>
      </c>
      <c r="P61" s="3">
        <v>23.03</v>
      </c>
      <c r="Q61" s="3" t="b">
        <f>FALSE()</f>
        <v>0</v>
      </c>
      <c r="R61" s="3" t="b">
        <f>FALSE()</f>
        <v>0</v>
      </c>
      <c r="S61" s="3" t="s">
        <v>39</v>
      </c>
      <c r="T61" s="3" t="s">
        <v>40</v>
      </c>
    </row>
    <row r="62" spans="1:20" ht="15" customHeight="1" x14ac:dyDescent="0.25">
      <c r="A62" s="2" t="s">
        <v>195</v>
      </c>
      <c r="B62" s="2" t="s">
        <v>83</v>
      </c>
      <c r="C62" s="2" t="s">
        <v>22</v>
      </c>
      <c r="D62" s="2" t="s">
        <v>160</v>
      </c>
      <c r="E62" s="2" t="s">
        <v>196</v>
      </c>
      <c r="F62" s="2" t="s">
        <v>164</v>
      </c>
      <c r="G62" s="2" t="s">
        <v>140</v>
      </c>
      <c r="H62" s="2" t="s">
        <v>27</v>
      </c>
      <c r="I62" s="2">
        <v>346.14</v>
      </c>
      <c r="J62" s="2">
        <v>0</v>
      </c>
      <c r="K62" s="2">
        <v>12</v>
      </c>
      <c r="L62" s="2" t="s">
        <v>28</v>
      </c>
      <c r="M62" s="2"/>
      <c r="N62" s="2" t="b">
        <f>FALSE()</f>
        <v>0</v>
      </c>
      <c r="O62" s="2">
        <v>0</v>
      </c>
      <c r="P62" s="2">
        <v>0</v>
      </c>
      <c r="Q62" s="2" t="b">
        <f>FALSE()</f>
        <v>0</v>
      </c>
      <c r="R62" s="2" t="b">
        <f>FALSE()</f>
        <v>0</v>
      </c>
      <c r="S62" s="2"/>
      <c r="T62" s="2"/>
    </row>
    <row r="63" spans="1:20" ht="15" customHeight="1" x14ac:dyDescent="0.25">
      <c r="A63" s="3" t="s">
        <v>197</v>
      </c>
      <c r="B63" s="3" t="s">
        <v>61</v>
      </c>
      <c r="C63" s="3" t="s">
        <v>22</v>
      </c>
      <c r="D63" s="3" t="s">
        <v>160</v>
      </c>
      <c r="E63" s="3" t="s">
        <v>150</v>
      </c>
      <c r="F63" s="3" t="s">
        <v>198</v>
      </c>
      <c r="G63" s="3"/>
      <c r="H63" s="3" t="s">
        <v>112</v>
      </c>
      <c r="I63" s="3">
        <v>390.29</v>
      </c>
      <c r="J63" s="3">
        <v>390.29</v>
      </c>
      <c r="K63" s="3"/>
      <c r="L63" s="3" t="s">
        <v>141</v>
      </c>
      <c r="M63" s="3">
        <v>80</v>
      </c>
      <c r="N63" s="3" t="b">
        <f>FALSE()</f>
        <v>0</v>
      </c>
      <c r="O63" s="3">
        <v>0</v>
      </c>
      <c r="P63" s="3">
        <v>0</v>
      </c>
      <c r="Q63" s="3" t="b">
        <f>FALSE()</f>
        <v>0</v>
      </c>
      <c r="R63" s="3" t="b">
        <f>FALSE()</f>
        <v>0</v>
      </c>
      <c r="S63" s="3" t="s">
        <v>113</v>
      </c>
      <c r="T63" s="3" t="s">
        <v>65</v>
      </c>
    </row>
    <row r="64" spans="1:20" ht="15" customHeight="1" x14ac:dyDescent="0.25">
      <c r="A64" s="2" t="s">
        <v>199</v>
      </c>
      <c r="B64" s="2" t="s">
        <v>61</v>
      </c>
      <c r="C64" s="2" t="s">
        <v>22</v>
      </c>
      <c r="D64" s="2" t="s">
        <v>160</v>
      </c>
      <c r="E64" s="2" t="s">
        <v>150</v>
      </c>
      <c r="F64" s="2" t="s">
        <v>198</v>
      </c>
      <c r="G64" s="2" t="s">
        <v>165</v>
      </c>
      <c r="H64" s="2" t="s">
        <v>27</v>
      </c>
      <c r="I64" s="2">
        <v>591.78</v>
      </c>
      <c r="J64" s="2">
        <v>0</v>
      </c>
      <c r="K64" s="2">
        <v>25</v>
      </c>
      <c r="L64" s="2" t="s">
        <v>28</v>
      </c>
      <c r="M64" s="2"/>
      <c r="N64" s="2" t="b">
        <f>TRUE()</f>
        <v>1</v>
      </c>
      <c r="O64" s="2">
        <v>0</v>
      </c>
      <c r="P64" s="2">
        <v>0</v>
      </c>
      <c r="Q64" s="2" t="b">
        <f>FALSE()</f>
        <v>0</v>
      </c>
      <c r="R64" s="2" t="b">
        <f>FALSE()</f>
        <v>0</v>
      </c>
      <c r="S64" s="2" t="s">
        <v>13</v>
      </c>
      <c r="T64" s="2" t="s">
        <v>29</v>
      </c>
    </row>
    <row r="65" spans="1:20" ht="15" customHeight="1" x14ac:dyDescent="0.25">
      <c r="A65" s="3" t="s">
        <v>200</v>
      </c>
      <c r="B65" s="3" t="s">
        <v>21</v>
      </c>
      <c r="C65" s="3" t="s">
        <v>22</v>
      </c>
      <c r="D65" s="3" t="s">
        <v>201</v>
      </c>
      <c r="E65" s="3" t="s">
        <v>202</v>
      </c>
      <c r="F65" s="3" t="s">
        <v>203</v>
      </c>
      <c r="G65" s="3"/>
      <c r="H65" s="3" t="s">
        <v>112</v>
      </c>
      <c r="I65" s="3">
        <v>317.27999999999997</v>
      </c>
      <c r="J65" s="3">
        <v>317.27999999999997</v>
      </c>
      <c r="K65" s="3"/>
      <c r="L65" s="3" t="s">
        <v>185</v>
      </c>
      <c r="M65" s="3">
        <v>54</v>
      </c>
      <c r="N65" s="3" t="b">
        <f>FALSE()</f>
        <v>0</v>
      </c>
      <c r="O65" s="3">
        <v>0</v>
      </c>
      <c r="P65" s="3">
        <v>0</v>
      </c>
      <c r="Q65" s="3" t="b">
        <f>FALSE()</f>
        <v>0</v>
      </c>
      <c r="R65" s="3" t="b">
        <f>FALSE()</f>
        <v>0</v>
      </c>
      <c r="S65" s="3" t="s">
        <v>113</v>
      </c>
      <c r="T65" s="3" t="s">
        <v>65</v>
      </c>
    </row>
    <row r="66" spans="1:20" ht="15" customHeight="1" x14ac:dyDescent="0.25">
      <c r="A66" s="2" t="s">
        <v>204</v>
      </c>
      <c r="B66" s="2" t="s">
        <v>79</v>
      </c>
      <c r="C66" s="2" t="s">
        <v>32</v>
      </c>
      <c r="D66" s="2" t="s">
        <v>201</v>
      </c>
      <c r="E66" s="2" t="s">
        <v>202</v>
      </c>
      <c r="F66" s="2" t="s">
        <v>203</v>
      </c>
      <c r="G66" s="2" t="s">
        <v>205</v>
      </c>
      <c r="H66" s="2" t="s">
        <v>27</v>
      </c>
      <c r="I66" s="2">
        <v>737.13</v>
      </c>
      <c r="J66" s="2">
        <v>0</v>
      </c>
      <c r="K66" s="2">
        <v>10</v>
      </c>
      <c r="L66" s="2" t="s">
        <v>28</v>
      </c>
      <c r="M66" s="2"/>
      <c r="N66" s="2" t="b">
        <f>FALSE()</f>
        <v>0</v>
      </c>
      <c r="O66" s="2">
        <v>0</v>
      </c>
      <c r="P66" s="2">
        <v>0</v>
      </c>
      <c r="Q66" s="2" t="b">
        <f>FALSE()</f>
        <v>0</v>
      </c>
      <c r="R66" s="2" t="b">
        <f>FALSE()</f>
        <v>0</v>
      </c>
      <c r="S66" s="2"/>
      <c r="T66" s="2"/>
    </row>
    <row r="67" spans="1:20" ht="15" customHeight="1" x14ac:dyDescent="0.25">
      <c r="A67" s="3" t="s">
        <v>206</v>
      </c>
      <c r="B67" s="3" t="s">
        <v>67</v>
      </c>
      <c r="C67" s="3" t="s">
        <v>68</v>
      </c>
      <c r="D67" s="3" t="s">
        <v>201</v>
      </c>
      <c r="E67" s="3" t="s">
        <v>202</v>
      </c>
      <c r="F67" s="3" t="s">
        <v>203</v>
      </c>
      <c r="G67" s="3" t="s">
        <v>207</v>
      </c>
      <c r="H67" s="3" t="s">
        <v>37</v>
      </c>
      <c r="I67" s="3">
        <v>1188.58</v>
      </c>
      <c r="J67" s="3">
        <v>713.15</v>
      </c>
      <c r="K67" s="3"/>
      <c r="L67" s="3" t="s">
        <v>185</v>
      </c>
      <c r="M67" s="3">
        <v>54</v>
      </c>
      <c r="N67" s="3" t="b">
        <f>FALSE()</f>
        <v>0</v>
      </c>
      <c r="O67" s="3">
        <v>0</v>
      </c>
      <c r="P67" s="3">
        <v>0</v>
      </c>
      <c r="Q67" s="3" t="b">
        <f>FALSE()</f>
        <v>0</v>
      </c>
      <c r="R67" s="3" t="b">
        <f>FALSE()</f>
        <v>0</v>
      </c>
      <c r="S67" s="3" t="s">
        <v>113</v>
      </c>
      <c r="T67" s="3" t="s">
        <v>65</v>
      </c>
    </row>
    <row r="68" spans="1:20" ht="15" customHeight="1" x14ac:dyDescent="0.25">
      <c r="A68" s="2" t="s">
        <v>208</v>
      </c>
      <c r="B68" s="2" t="s">
        <v>89</v>
      </c>
      <c r="C68" s="2" t="s">
        <v>32</v>
      </c>
      <c r="D68" s="2" t="s">
        <v>201</v>
      </c>
      <c r="E68" s="2" t="s">
        <v>209</v>
      </c>
      <c r="F68" s="2" t="s">
        <v>203</v>
      </c>
      <c r="G68" s="2"/>
      <c r="H68" s="2" t="s">
        <v>97</v>
      </c>
      <c r="I68" s="2">
        <v>1119.5999999999999</v>
      </c>
      <c r="J68" s="2">
        <v>1119.5999999999999</v>
      </c>
      <c r="K68" s="2"/>
      <c r="L68" s="2" t="s">
        <v>185</v>
      </c>
      <c r="M68" s="2">
        <v>54</v>
      </c>
      <c r="N68" s="2" t="b">
        <f>FALSE()</f>
        <v>0</v>
      </c>
      <c r="O68" s="2">
        <v>0</v>
      </c>
      <c r="P68" s="2">
        <v>22.39</v>
      </c>
      <c r="Q68" s="2" t="b">
        <f>FALSE()</f>
        <v>0</v>
      </c>
      <c r="R68" s="2" t="b">
        <f>TRUE()</f>
        <v>1</v>
      </c>
      <c r="S68" s="2" t="s">
        <v>98</v>
      </c>
      <c r="T68" s="2" t="s">
        <v>40</v>
      </c>
    </row>
    <row r="69" spans="1:20" ht="15" customHeight="1" x14ac:dyDescent="0.25">
      <c r="A69" s="3" t="s">
        <v>210</v>
      </c>
      <c r="B69" s="3" t="s">
        <v>86</v>
      </c>
      <c r="C69" s="3" t="s">
        <v>22</v>
      </c>
      <c r="D69" s="3" t="s">
        <v>201</v>
      </c>
      <c r="E69" s="3" t="s">
        <v>140</v>
      </c>
      <c r="F69" s="3" t="s">
        <v>203</v>
      </c>
      <c r="G69" s="3"/>
      <c r="H69" s="3" t="s">
        <v>112</v>
      </c>
      <c r="I69" s="3">
        <v>1922.3</v>
      </c>
      <c r="J69" s="3">
        <v>1922.3</v>
      </c>
      <c r="K69" s="3"/>
      <c r="L69" s="3" t="s">
        <v>185</v>
      </c>
      <c r="M69" s="3">
        <v>54</v>
      </c>
      <c r="N69" s="3" t="b">
        <f>FALSE()</f>
        <v>0</v>
      </c>
      <c r="O69" s="3">
        <v>0</v>
      </c>
      <c r="P69" s="3">
        <v>0</v>
      </c>
      <c r="Q69" s="3" t="b">
        <f>FALSE()</f>
        <v>0</v>
      </c>
      <c r="R69" s="3" t="b">
        <f>FALSE()</f>
        <v>0</v>
      </c>
      <c r="S69" s="3" t="s">
        <v>113</v>
      </c>
      <c r="T69" s="3" t="s">
        <v>65</v>
      </c>
    </row>
    <row r="70" spans="1:20" ht="15" customHeight="1" x14ac:dyDescent="0.25">
      <c r="A70" s="2" t="s">
        <v>211</v>
      </c>
      <c r="B70" s="2" t="s">
        <v>75</v>
      </c>
      <c r="C70" s="2" t="s">
        <v>22</v>
      </c>
      <c r="D70" s="2" t="s">
        <v>201</v>
      </c>
      <c r="E70" s="2" t="s">
        <v>140</v>
      </c>
      <c r="F70" s="2" t="s">
        <v>203</v>
      </c>
      <c r="G70" s="2"/>
      <c r="H70" s="2" t="s">
        <v>112</v>
      </c>
      <c r="I70" s="2">
        <v>1368.67</v>
      </c>
      <c r="J70" s="2">
        <v>1368.67</v>
      </c>
      <c r="K70" s="2"/>
      <c r="L70" s="2" t="s">
        <v>185</v>
      </c>
      <c r="M70" s="2">
        <v>54</v>
      </c>
      <c r="N70" s="2" t="b">
        <f>FALSE()</f>
        <v>0</v>
      </c>
      <c r="O70" s="2">
        <v>0</v>
      </c>
      <c r="P70" s="2">
        <v>0</v>
      </c>
      <c r="Q70" s="2" t="b">
        <f>FALSE()</f>
        <v>0</v>
      </c>
      <c r="R70" s="2" t="b">
        <f>FALSE()</f>
        <v>0</v>
      </c>
      <c r="S70" s="2" t="s">
        <v>113</v>
      </c>
      <c r="T70" s="2" t="s">
        <v>65</v>
      </c>
    </row>
    <row r="71" spans="1:20" ht="15" customHeight="1" x14ac:dyDescent="0.25">
      <c r="A71" s="3" t="s">
        <v>212</v>
      </c>
      <c r="B71" s="3" t="s">
        <v>21</v>
      </c>
      <c r="C71" s="3" t="s">
        <v>22</v>
      </c>
      <c r="D71" s="3" t="s">
        <v>201</v>
      </c>
      <c r="E71" s="3" t="s">
        <v>193</v>
      </c>
      <c r="F71" s="3" t="s">
        <v>213</v>
      </c>
      <c r="G71" s="3" t="s">
        <v>165</v>
      </c>
      <c r="H71" s="3" t="s">
        <v>27</v>
      </c>
      <c r="I71" s="3">
        <v>318.02999999999997</v>
      </c>
      <c r="J71" s="3">
        <v>0</v>
      </c>
      <c r="K71" s="3">
        <v>12</v>
      </c>
      <c r="L71" s="3" t="s">
        <v>28</v>
      </c>
      <c r="M71" s="3"/>
      <c r="N71" s="3" t="b">
        <f>FALSE()</f>
        <v>0</v>
      </c>
      <c r="O71" s="3">
        <v>0</v>
      </c>
      <c r="P71" s="3">
        <v>0</v>
      </c>
      <c r="Q71" s="3" t="b">
        <f>FALSE()</f>
        <v>0</v>
      </c>
      <c r="R71" s="3" t="b">
        <f>FALSE()</f>
        <v>0</v>
      </c>
      <c r="S71" s="3"/>
      <c r="T71" s="3"/>
    </row>
    <row r="72" spans="1:20" ht="15" customHeight="1" x14ac:dyDescent="0.25">
      <c r="A72" s="2" t="s">
        <v>214</v>
      </c>
      <c r="B72" s="2" t="s">
        <v>54</v>
      </c>
      <c r="C72" s="2" t="s">
        <v>32</v>
      </c>
      <c r="D72" s="2" t="s">
        <v>201</v>
      </c>
      <c r="E72" s="2" t="s">
        <v>193</v>
      </c>
      <c r="F72" s="2" t="s">
        <v>213</v>
      </c>
      <c r="G72" s="2" t="s">
        <v>215</v>
      </c>
      <c r="H72" s="2" t="s">
        <v>27</v>
      </c>
      <c r="I72" s="2">
        <v>2654.51</v>
      </c>
      <c r="J72" s="2">
        <v>0</v>
      </c>
      <c r="K72" s="2">
        <v>6</v>
      </c>
      <c r="L72" s="2" t="s">
        <v>28</v>
      </c>
      <c r="M72" s="2"/>
      <c r="N72" s="2" t="b">
        <f>FALSE()</f>
        <v>0</v>
      </c>
      <c r="O72" s="2">
        <v>0</v>
      </c>
      <c r="P72" s="2">
        <v>0</v>
      </c>
      <c r="Q72" s="2" t="b">
        <f>FALSE()</f>
        <v>0</v>
      </c>
      <c r="R72" s="2" t="b">
        <f>FALSE()</f>
        <v>0</v>
      </c>
      <c r="S72" s="2"/>
      <c r="T72" s="2"/>
    </row>
    <row r="73" spans="1:20" ht="15" customHeight="1" x14ac:dyDescent="0.25">
      <c r="A73" s="3" t="s">
        <v>216</v>
      </c>
      <c r="B73" s="3" t="s">
        <v>83</v>
      </c>
      <c r="C73" s="3" t="s">
        <v>22</v>
      </c>
      <c r="D73" s="3" t="s">
        <v>201</v>
      </c>
      <c r="E73" s="3" t="s">
        <v>164</v>
      </c>
      <c r="F73" s="3" t="s">
        <v>217</v>
      </c>
      <c r="G73" s="3"/>
      <c r="H73" s="3" t="s">
        <v>112</v>
      </c>
      <c r="I73" s="3">
        <v>568.25</v>
      </c>
      <c r="J73" s="3">
        <v>568.25</v>
      </c>
      <c r="K73" s="3"/>
      <c r="L73" s="3" t="s">
        <v>141</v>
      </c>
      <c r="M73" s="3">
        <v>66</v>
      </c>
      <c r="N73" s="3" t="b">
        <f>FALSE()</f>
        <v>0</v>
      </c>
      <c r="O73" s="3">
        <v>0</v>
      </c>
      <c r="P73" s="3">
        <v>0</v>
      </c>
      <c r="Q73" s="3" t="b">
        <f>FALSE()</f>
        <v>0</v>
      </c>
      <c r="R73" s="3" t="b">
        <f>FALSE()</f>
        <v>0</v>
      </c>
      <c r="S73" s="3" t="s">
        <v>113</v>
      </c>
      <c r="T73" s="3" t="s">
        <v>65</v>
      </c>
    </row>
    <row r="74" spans="1:20" ht="15" customHeight="1" x14ac:dyDescent="0.25">
      <c r="A74" s="2" t="s">
        <v>218</v>
      </c>
      <c r="B74" s="2" t="s">
        <v>75</v>
      </c>
      <c r="C74" s="2" t="s">
        <v>22</v>
      </c>
      <c r="D74" s="2" t="s">
        <v>201</v>
      </c>
      <c r="E74" s="2" t="s">
        <v>164</v>
      </c>
      <c r="F74" s="2" t="s">
        <v>219</v>
      </c>
      <c r="G74" s="2" t="s">
        <v>220</v>
      </c>
      <c r="H74" s="2" t="s">
        <v>27</v>
      </c>
      <c r="I74" s="2">
        <v>2584.04</v>
      </c>
      <c r="J74" s="2">
        <v>0</v>
      </c>
      <c r="K74" s="2">
        <v>41</v>
      </c>
      <c r="L74" s="2" t="s">
        <v>28</v>
      </c>
      <c r="M74" s="2"/>
      <c r="N74" s="2" t="b">
        <f>TRUE()</f>
        <v>1</v>
      </c>
      <c r="O74" s="2">
        <v>0</v>
      </c>
      <c r="P74" s="2">
        <v>0</v>
      </c>
      <c r="Q74" s="2" t="b">
        <f>FALSE()</f>
        <v>0</v>
      </c>
      <c r="R74" s="2" t="b">
        <f>FALSE()</f>
        <v>0</v>
      </c>
      <c r="S74" s="2" t="s">
        <v>13</v>
      </c>
      <c r="T74" s="2" t="s">
        <v>29</v>
      </c>
    </row>
    <row r="75" spans="1:20" ht="15" customHeight="1" x14ac:dyDescent="0.25">
      <c r="A75" s="3" t="s">
        <v>221</v>
      </c>
      <c r="B75" s="3" t="s">
        <v>86</v>
      </c>
      <c r="C75" s="3" t="s">
        <v>22</v>
      </c>
      <c r="D75" s="3" t="s">
        <v>201</v>
      </c>
      <c r="E75" s="3" t="s">
        <v>170</v>
      </c>
      <c r="F75" s="3" t="s">
        <v>222</v>
      </c>
      <c r="G75" s="3" t="s">
        <v>223</v>
      </c>
      <c r="H75" s="3" t="s">
        <v>27</v>
      </c>
      <c r="I75" s="3">
        <v>4698.93</v>
      </c>
      <c r="J75" s="3">
        <v>0</v>
      </c>
      <c r="K75" s="3">
        <v>8</v>
      </c>
      <c r="L75" s="3" t="s">
        <v>28</v>
      </c>
      <c r="M75" s="3"/>
      <c r="N75" s="3" t="b">
        <f>FALSE()</f>
        <v>0</v>
      </c>
      <c r="O75" s="3">
        <v>0</v>
      </c>
      <c r="P75" s="3">
        <v>0</v>
      </c>
      <c r="Q75" s="3" t="b">
        <f>FALSE()</f>
        <v>0</v>
      </c>
      <c r="R75" s="3" t="b">
        <f>FALSE()</f>
        <v>0</v>
      </c>
      <c r="S75" s="3"/>
      <c r="T75" s="3"/>
    </row>
    <row r="76" spans="1:20" ht="15" customHeight="1" x14ac:dyDescent="0.25">
      <c r="A76" s="2" t="s">
        <v>224</v>
      </c>
      <c r="B76" s="2" t="s">
        <v>96</v>
      </c>
      <c r="C76" s="2" t="s">
        <v>32</v>
      </c>
      <c r="D76" s="2" t="s">
        <v>201</v>
      </c>
      <c r="E76" s="2" t="s">
        <v>225</v>
      </c>
      <c r="F76" s="2" t="s">
        <v>226</v>
      </c>
      <c r="G76" s="2" t="s">
        <v>227</v>
      </c>
      <c r="H76" s="2" t="s">
        <v>27</v>
      </c>
      <c r="I76" s="2">
        <v>1078.4100000000001</v>
      </c>
      <c r="J76" s="2">
        <v>0</v>
      </c>
      <c r="K76" s="2">
        <v>20</v>
      </c>
      <c r="L76" s="2" t="s">
        <v>28</v>
      </c>
      <c r="M76" s="2"/>
      <c r="N76" s="2" t="b">
        <f>FALSE()</f>
        <v>0</v>
      </c>
      <c r="O76" s="2">
        <v>0</v>
      </c>
      <c r="P76" s="2">
        <v>0</v>
      </c>
      <c r="Q76" s="2" t="b">
        <f>FALSE()</f>
        <v>0</v>
      </c>
      <c r="R76" s="2" t="b">
        <f>FALSE()</f>
        <v>0</v>
      </c>
      <c r="S76" s="2"/>
      <c r="T76" s="2"/>
    </row>
    <row r="77" spans="1:20" ht="15" customHeight="1" x14ac:dyDescent="0.25">
      <c r="A77" s="3" t="s">
        <v>228</v>
      </c>
      <c r="B77" s="3" t="s">
        <v>50</v>
      </c>
      <c r="C77" s="3" t="s">
        <v>22</v>
      </c>
      <c r="D77" s="3" t="s">
        <v>201</v>
      </c>
      <c r="E77" s="3" t="s">
        <v>225</v>
      </c>
      <c r="F77" s="3" t="s">
        <v>229</v>
      </c>
      <c r="G77" s="3"/>
      <c r="H77" s="3" t="s">
        <v>112</v>
      </c>
      <c r="I77" s="3">
        <v>1662.11</v>
      </c>
      <c r="J77" s="3">
        <v>1662.11</v>
      </c>
      <c r="K77" s="3"/>
      <c r="L77" s="3" t="s">
        <v>185</v>
      </c>
      <c r="M77" s="3">
        <v>31</v>
      </c>
      <c r="N77" s="3" t="b">
        <f>FALSE()</f>
        <v>0</v>
      </c>
      <c r="O77" s="3">
        <v>0</v>
      </c>
      <c r="P77" s="3">
        <v>0</v>
      </c>
      <c r="Q77" s="3" t="b">
        <f>FALSE()</f>
        <v>0</v>
      </c>
      <c r="R77" s="3" t="b">
        <f>FALSE()</f>
        <v>0</v>
      </c>
      <c r="S77" s="3" t="s">
        <v>113</v>
      </c>
      <c r="T77" s="3" t="s">
        <v>65</v>
      </c>
    </row>
    <row r="78" spans="1:20" ht="15" customHeight="1" x14ac:dyDescent="0.25">
      <c r="A78" s="2" t="s">
        <v>230</v>
      </c>
      <c r="B78" s="2" t="s">
        <v>46</v>
      </c>
      <c r="C78" s="2" t="s">
        <v>32</v>
      </c>
      <c r="D78" s="2" t="s">
        <v>201</v>
      </c>
      <c r="E78" s="2" t="s">
        <v>215</v>
      </c>
      <c r="F78" s="2" t="s">
        <v>231</v>
      </c>
      <c r="G78" s="2" t="s">
        <v>187</v>
      </c>
      <c r="H78" s="2" t="s">
        <v>27</v>
      </c>
      <c r="I78" s="2">
        <v>2565.06</v>
      </c>
      <c r="J78" s="2">
        <v>0</v>
      </c>
      <c r="K78" s="2">
        <v>7</v>
      </c>
      <c r="L78" s="2" t="s">
        <v>28</v>
      </c>
      <c r="M78" s="2"/>
      <c r="N78" s="2" t="b">
        <f>FALSE()</f>
        <v>0</v>
      </c>
      <c r="O78" s="2">
        <v>0</v>
      </c>
      <c r="P78" s="2">
        <v>0</v>
      </c>
      <c r="Q78" s="2" t="b">
        <f>FALSE()</f>
        <v>0</v>
      </c>
      <c r="R78" s="2" t="b">
        <f>FALSE()</f>
        <v>0</v>
      </c>
      <c r="S78" s="2"/>
      <c r="T78" s="2"/>
    </row>
    <row r="79" spans="1:20" ht="15" customHeight="1" x14ac:dyDescent="0.25">
      <c r="A79" s="3" t="s">
        <v>232</v>
      </c>
      <c r="B79" s="3" t="s">
        <v>31</v>
      </c>
      <c r="C79" s="3" t="s">
        <v>32</v>
      </c>
      <c r="D79" s="3" t="s">
        <v>201</v>
      </c>
      <c r="E79" s="3" t="s">
        <v>233</v>
      </c>
      <c r="F79" s="3" t="s">
        <v>220</v>
      </c>
      <c r="G79" s="3" t="s">
        <v>234</v>
      </c>
      <c r="H79" s="3" t="s">
        <v>27</v>
      </c>
      <c r="I79" s="3">
        <v>1598.27</v>
      </c>
      <c r="J79" s="3">
        <v>0</v>
      </c>
      <c r="K79" s="3">
        <v>37</v>
      </c>
      <c r="L79" s="3" t="s">
        <v>28</v>
      </c>
      <c r="M79" s="3"/>
      <c r="N79" s="3" t="b">
        <f>TRUE()</f>
        <v>1</v>
      </c>
      <c r="O79" s="3">
        <v>0</v>
      </c>
      <c r="P79" s="3">
        <v>0</v>
      </c>
      <c r="Q79" s="3" t="b">
        <f>FALSE()</f>
        <v>0</v>
      </c>
      <c r="R79" s="3" t="b">
        <f>FALSE()</f>
        <v>0</v>
      </c>
      <c r="S79" s="3" t="s">
        <v>13</v>
      </c>
      <c r="T79" s="3" t="s">
        <v>29</v>
      </c>
    </row>
    <row r="80" spans="1:20" ht="15" customHeight="1" x14ac:dyDescent="0.25">
      <c r="A80" s="2" t="s">
        <v>235</v>
      </c>
      <c r="B80" s="2" t="s">
        <v>50</v>
      </c>
      <c r="C80" s="2" t="s">
        <v>22</v>
      </c>
      <c r="D80" s="2" t="s">
        <v>201</v>
      </c>
      <c r="E80" s="2" t="s">
        <v>233</v>
      </c>
      <c r="F80" s="2" t="s">
        <v>236</v>
      </c>
      <c r="G80" s="2" t="s">
        <v>237</v>
      </c>
      <c r="H80" s="2" t="s">
        <v>27</v>
      </c>
      <c r="I80" s="2">
        <v>1930.38</v>
      </c>
      <c r="J80" s="2">
        <v>0</v>
      </c>
      <c r="K80" s="2">
        <v>33</v>
      </c>
      <c r="L80" s="2" t="s">
        <v>28</v>
      </c>
      <c r="M80" s="2"/>
      <c r="N80" s="2" t="b">
        <f>FALSE()</f>
        <v>0</v>
      </c>
      <c r="O80" s="2">
        <v>0</v>
      </c>
      <c r="P80" s="2">
        <v>0</v>
      </c>
      <c r="Q80" s="2" t="b">
        <f>FALSE()</f>
        <v>0</v>
      </c>
      <c r="R80" s="2" t="b">
        <f>FALSE()</f>
        <v>0</v>
      </c>
      <c r="S80" s="2"/>
      <c r="T80" s="2"/>
    </row>
    <row r="81" spans="1:20" ht="15" customHeight="1" x14ac:dyDescent="0.25">
      <c r="A81" s="3" t="s">
        <v>238</v>
      </c>
      <c r="B81" s="3" t="s">
        <v>93</v>
      </c>
      <c r="C81" s="3" t="s">
        <v>94</v>
      </c>
      <c r="D81" s="3" t="s">
        <v>201</v>
      </c>
      <c r="E81" s="3" t="s">
        <v>165</v>
      </c>
      <c r="F81" s="3" t="s">
        <v>239</v>
      </c>
      <c r="G81" s="3"/>
      <c r="H81" s="3" t="s">
        <v>112</v>
      </c>
      <c r="I81" s="3">
        <v>669.31</v>
      </c>
      <c r="J81" s="3">
        <v>669.31</v>
      </c>
      <c r="K81" s="3"/>
      <c r="L81" s="3" t="s">
        <v>185</v>
      </c>
      <c r="M81" s="3">
        <v>39</v>
      </c>
      <c r="N81" s="3" t="b">
        <f>FALSE()</f>
        <v>0</v>
      </c>
      <c r="O81" s="3">
        <v>0</v>
      </c>
      <c r="P81" s="3">
        <v>0</v>
      </c>
      <c r="Q81" s="3" t="b">
        <f>FALSE()</f>
        <v>0</v>
      </c>
      <c r="R81" s="3" t="b">
        <f>FALSE()</f>
        <v>0</v>
      </c>
      <c r="S81" s="3" t="s">
        <v>113</v>
      </c>
      <c r="T81" s="3" t="s">
        <v>65</v>
      </c>
    </row>
    <row r="82" spans="1:20" ht="15" customHeight="1" x14ac:dyDescent="0.25">
      <c r="A82" s="2" t="s">
        <v>240</v>
      </c>
      <c r="B82" s="2" t="s">
        <v>54</v>
      </c>
      <c r="C82" s="2" t="s">
        <v>32</v>
      </c>
      <c r="D82" s="2" t="s">
        <v>201</v>
      </c>
      <c r="E82" s="2" t="s">
        <v>241</v>
      </c>
      <c r="F82" s="2" t="s">
        <v>242</v>
      </c>
      <c r="G82" s="2"/>
      <c r="H82" s="2" t="s">
        <v>63</v>
      </c>
      <c r="I82" s="2">
        <v>1612.56</v>
      </c>
      <c r="J82" s="2">
        <v>1612.56</v>
      </c>
      <c r="K82" s="2"/>
      <c r="L82" s="2" t="s">
        <v>185</v>
      </c>
      <c r="M82" s="2">
        <v>38</v>
      </c>
      <c r="N82" s="2" t="b">
        <f>FALSE()</f>
        <v>0</v>
      </c>
      <c r="O82" s="2">
        <v>0</v>
      </c>
      <c r="P82" s="2">
        <v>0</v>
      </c>
      <c r="Q82" s="2" t="b">
        <f>TRUE()</f>
        <v>1</v>
      </c>
      <c r="R82" s="2" t="b">
        <f>FALSE()</f>
        <v>0</v>
      </c>
      <c r="S82" s="2" t="s">
        <v>64</v>
      </c>
      <c r="T82" s="2" t="s">
        <v>65</v>
      </c>
    </row>
    <row r="83" spans="1:20" ht="15" customHeight="1" x14ac:dyDescent="0.25">
      <c r="A83" s="3" t="s">
        <v>243</v>
      </c>
      <c r="B83" s="3" t="s">
        <v>96</v>
      </c>
      <c r="C83" s="3" t="s">
        <v>32</v>
      </c>
      <c r="D83" s="3" t="s">
        <v>201</v>
      </c>
      <c r="E83" s="3" t="s">
        <v>241</v>
      </c>
      <c r="F83" s="3" t="s">
        <v>242</v>
      </c>
      <c r="G83" s="3" t="s">
        <v>234</v>
      </c>
      <c r="H83" s="3" t="s">
        <v>27</v>
      </c>
      <c r="I83" s="3">
        <v>838.35</v>
      </c>
      <c r="J83" s="3">
        <v>0</v>
      </c>
      <c r="K83" s="3">
        <v>35</v>
      </c>
      <c r="L83" s="3" t="s">
        <v>28</v>
      </c>
      <c r="M83" s="3"/>
      <c r="N83" s="3" t="b">
        <f>TRUE()</f>
        <v>1</v>
      </c>
      <c r="O83" s="3">
        <v>0</v>
      </c>
      <c r="P83" s="3">
        <v>0</v>
      </c>
      <c r="Q83" s="3" t="b">
        <f>FALSE()</f>
        <v>0</v>
      </c>
      <c r="R83" s="3" t="b">
        <f>FALSE()</f>
        <v>0</v>
      </c>
      <c r="S83" s="3" t="s">
        <v>13</v>
      </c>
      <c r="T83" s="3" t="s">
        <v>29</v>
      </c>
    </row>
    <row r="84" spans="1:20" ht="15" customHeight="1" x14ac:dyDescent="0.25">
      <c r="A84" s="2" t="s">
        <v>244</v>
      </c>
      <c r="B84" s="2" t="s">
        <v>61</v>
      </c>
      <c r="C84" s="2" t="s">
        <v>22</v>
      </c>
      <c r="D84" s="2" t="s">
        <v>201</v>
      </c>
      <c r="E84" s="2" t="s">
        <v>241</v>
      </c>
      <c r="F84" s="2" t="s">
        <v>245</v>
      </c>
      <c r="G84" s="2"/>
      <c r="H84" s="2" t="s">
        <v>97</v>
      </c>
      <c r="I84" s="2">
        <v>205.09</v>
      </c>
      <c r="J84" s="2">
        <v>205.09</v>
      </c>
      <c r="K84" s="2"/>
      <c r="L84" s="2" t="s">
        <v>185</v>
      </c>
      <c r="M84" s="2">
        <v>53</v>
      </c>
      <c r="N84" s="2" t="b">
        <f>FALSE()</f>
        <v>0</v>
      </c>
      <c r="O84" s="2">
        <v>0</v>
      </c>
      <c r="P84" s="2">
        <v>0</v>
      </c>
      <c r="Q84" s="2" t="b">
        <f>FALSE()</f>
        <v>0</v>
      </c>
      <c r="R84" s="2" t="b">
        <f>TRUE()</f>
        <v>1</v>
      </c>
      <c r="S84" s="2" t="s">
        <v>98</v>
      </c>
      <c r="T84" s="2" t="s">
        <v>40</v>
      </c>
    </row>
    <row r="85" spans="1:20" ht="15" customHeight="1" x14ac:dyDescent="0.25">
      <c r="A85" s="3" t="s">
        <v>246</v>
      </c>
      <c r="B85" s="3" t="s">
        <v>35</v>
      </c>
      <c r="C85" s="3" t="s">
        <v>32</v>
      </c>
      <c r="D85" s="3" t="s">
        <v>201</v>
      </c>
      <c r="E85" s="3" t="s">
        <v>187</v>
      </c>
      <c r="F85" s="3" t="s">
        <v>237</v>
      </c>
      <c r="G85" s="3"/>
      <c r="H85" s="3" t="s">
        <v>112</v>
      </c>
      <c r="I85" s="3">
        <v>2921.55</v>
      </c>
      <c r="J85" s="3">
        <v>2921.55</v>
      </c>
      <c r="K85" s="3"/>
      <c r="L85" s="3" t="s">
        <v>185</v>
      </c>
      <c r="M85" s="3">
        <v>37</v>
      </c>
      <c r="N85" s="3" t="b">
        <f>FALSE()</f>
        <v>0</v>
      </c>
      <c r="O85" s="3">
        <v>0</v>
      </c>
      <c r="P85" s="3">
        <v>58.43</v>
      </c>
      <c r="Q85" s="3" t="b">
        <f>FALSE()</f>
        <v>0</v>
      </c>
      <c r="R85" s="3" t="b">
        <f>FALSE()</f>
        <v>0</v>
      </c>
      <c r="S85" s="3" t="s">
        <v>39</v>
      </c>
      <c r="T85" s="3" t="s">
        <v>40</v>
      </c>
    </row>
    <row r="86" spans="1:20" ht="15" customHeight="1" x14ac:dyDescent="0.25">
      <c r="A86" s="2" t="s">
        <v>247</v>
      </c>
      <c r="B86" s="2" t="s">
        <v>31</v>
      </c>
      <c r="C86" s="2" t="s">
        <v>32</v>
      </c>
      <c r="D86" s="2" t="s">
        <v>201</v>
      </c>
      <c r="E86" s="2" t="s">
        <v>217</v>
      </c>
      <c r="F86" s="2" t="s">
        <v>234</v>
      </c>
      <c r="G86" s="2" t="s">
        <v>248</v>
      </c>
      <c r="H86" s="2" t="s">
        <v>27</v>
      </c>
      <c r="I86" s="2">
        <v>2437.9899999999998</v>
      </c>
      <c r="J86" s="2">
        <v>0</v>
      </c>
      <c r="K86" s="2">
        <v>15</v>
      </c>
      <c r="L86" s="2" t="s">
        <v>28</v>
      </c>
      <c r="M86" s="2"/>
      <c r="N86" s="2" t="b">
        <f>FALSE()</f>
        <v>0</v>
      </c>
      <c r="O86" s="2">
        <v>0</v>
      </c>
      <c r="P86" s="2">
        <v>0</v>
      </c>
      <c r="Q86" s="2" t="b">
        <f>FALSE()</f>
        <v>0</v>
      </c>
      <c r="R86" s="2" t="b">
        <f>FALSE()</f>
        <v>0</v>
      </c>
      <c r="S86" s="2"/>
      <c r="T86" s="2"/>
    </row>
    <row r="87" spans="1:20" ht="15" customHeight="1" x14ac:dyDescent="0.25">
      <c r="A87" s="3" t="s">
        <v>249</v>
      </c>
      <c r="B87" s="3" t="s">
        <v>79</v>
      </c>
      <c r="C87" s="3" t="s">
        <v>32</v>
      </c>
      <c r="D87" s="3" t="s">
        <v>201</v>
      </c>
      <c r="E87" s="3" t="s">
        <v>250</v>
      </c>
      <c r="F87" s="3" t="s">
        <v>234</v>
      </c>
      <c r="G87" s="3" t="s">
        <v>251</v>
      </c>
      <c r="H87" s="3" t="s">
        <v>27</v>
      </c>
      <c r="I87" s="3">
        <v>565.29999999999995</v>
      </c>
      <c r="J87" s="3">
        <v>0</v>
      </c>
      <c r="K87" s="3">
        <v>14</v>
      </c>
      <c r="L87" s="3" t="s">
        <v>28</v>
      </c>
      <c r="M87" s="3"/>
      <c r="N87" s="3" t="b">
        <f>FALSE()</f>
        <v>0</v>
      </c>
      <c r="O87" s="3">
        <v>0</v>
      </c>
      <c r="P87" s="3">
        <v>0</v>
      </c>
      <c r="Q87" s="3" t="b">
        <f>FALSE()</f>
        <v>0</v>
      </c>
      <c r="R87" s="3" t="b">
        <f>FALSE()</f>
        <v>0</v>
      </c>
      <c r="S87" s="3"/>
      <c r="T87" s="3"/>
    </row>
    <row r="88" spans="1:20" ht="15" customHeight="1" x14ac:dyDescent="0.25">
      <c r="A88" s="2" t="s">
        <v>252</v>
      </c>
      <c r="B88" s="2" t="s">
        <v>31</v>
      </c>
      <c r="C88" s="2" t="s">
        <v>32</v>
      </c>
      <c r="D88" s="2" t="s">
        <v>253</v>
      </c>
      <c r="E88" s="2" t="s">
        <v>227</v>
      </c>
      <c r="F88" s="2" t="s">
        <v>236</v>
      </c>
      <c r="G88" s="2" t="s">
        <v>251</v>
      </c>
      <c r="H88" s="2" t="s">
        <v>27</v>
      </c>
      <c r="I88" s="2">
        <v>2943.09</v>
      </c>
      <c r="J88" s="2">
        <v>0</v>
      </c>
      <c r="K88" s="2">
        <v>6</v>
      </c>
      <c r="L88" s="2" t="s">
        <v>28</v>
      </c>
      <c r="M88" s="2"/>
      <c r="N88" s="2" t="b">
        <f>FALSE()</f>
        <v>0</v>
      </c>
      <c r="O88" s="2">
        <v>0</v>
      </c>
      <c r="P88" s="2">
        <v>0</v>
      </c>
      <c r="Q88" s="2" t="b">
        <f>FALSE()</f>
        <v>0</v>
      </c>
      <c r="R88" s="2" t="b">
        <f>FALSE()</f>
        <v>0</v>
      </c>
      <c r="S88" s="2"/>
      <c r="T88" s="2"/>
    </row>
    <row r="89" spans="1:20" ht="15" customHeight="1" x14ac:dyDescent="0.25">
      <c r="A89" s="3" t="s">
        <v>254</v>
      </c>
      <c r="B89" s="3" t="s">
        <v>67</v>
      </c>
      <c r="C89" s="3" t="s">
        <v>68</v>
      </c>
      <c r="D89" s="3" t="s">
        <v>253</v>
      </c>
      <c r="E89" s="3" t="s">
        <v>255</v>
      </c>
      <c r="F89" s="3" t="s">
        <v>256</v>
      </c>
      <c r="G89" s="3" t="s">
        <v>257</v>
      </c>
      <c r="H89" s="3" t="s">
        <v>27</v>
      </c>
      <c r="I89" s="3">
        <v>536.29</v>
      </c>
      <c r="J89" s="3">
        <v>0</v>
      </c>
      <c r="K89" s="3">
        <v>39</v>
      </c>
      <c r="L89" s="3" t="s">
        <v>28</v>
      </c>
      <c r="M89" s="3"/>
      <c r="N89" s="3" t="b">
        <f>TRUE()</f>
        <v>1</v>
      </c>
      <c r="O89" s="3">
        <v>0</v>
      </c>
      <c r="P89" s="3">
        <v>0</v>
      </c>
      <c r="Q89" s="3" t="b">
        <f>FALSE()</f>
        <v>0</v>
      </c>
      <c r="R89" s="3" t="b">
        <f>FALSE()</f>
        <v>0</v>
      </c>
      <c r="S89" s="3" t="s">
        <v>13</v>
      </c>
      <c r="T89" s="3" t="s">
        <v>29</v>
      </c>
    </row>
    <row r="90" spans="1:20" ht="15" customHeight="1" x14ac:dyDescent="0.25">
      <c r="A90" s="2" t="s">
        <v>258</v>
      </c>
      <c r="B90" s="2" t="s">
        <v>50</v>
      </c>
      <c r="C90" s="2" t="s">
        <v>22</v>
      </c>
      <c r="D90" s="2" t="s">
        <v>253</v>
      </c>
      <c r="E90" s="2" t="s">
        <v>203</v>
      </c>
      <c r="F90" s="2" t="s">
        <v>259</v>
      </c>
      <c r="G90" s="2"/>
      <c r="H90" s="2" t="s">
        <v>97</v>
      </c>
      <c r="I90" s="2">
        <v>1928.55</v>
      </c>
      <c r="J90" s="2">
        <v>1928.55</v>
      </c>
      <c r="K90" s="2"/>
      <c r="L90" s="2" t="s">
        <v>260</v>
      </c>
      <c r="M90" s="2">
        <v>8</v>
      </c>
      <c r="N90" s="2" t="b">
        <f>FALSE()</f>
        <v>0</v>
      </c>
      <c r="O90" s="2">
        <v>0</v>
      </c>
      <c r="P90" s="2">
        <v>0</v>
      </c>
      <c r="Q90" s="2" t="b">
        <f>FALSE()</f>
        <v>0</v>
      </c>
      <c r="R90" s="2" t="b">
        <f>TRUE()</f>
        <v>1</v>
      </c>
      <c r="S90" s="2" t="s">
        <v>98</v>
      </c>
      <c r="T90" s="2" t="s">
        <v>40</v>
      </c>
    </row>
    <row r="91" spans="1:20" ht="15" customHeight="1" x14ac:dyDescent="0.25">
      <c r="A91" s="3" t="s">
        <v>261</v>
      </c>
      <c r="B91" s="3" t="s">
        <v>93</v>
      </c>
      <c r="C91" s="3" t="s">
        <v>94</v>
      </c>
      <c r="D91" s="3" t="s">
        <v>253</v>
      </c>
      <c r="E91" s="3" t="s">
        <v>245</v>
      </c>
      <c r="F91" s="3" t="s">
        <v>262</v>
      </c>
      <c r="G91" s="3" t="s">
        <v>263</v>
      </c>
      <c r="H91" s="3" t="s">
        <v>27</v>
      </c>
      <c r="I91" s="3">
        <v>671.56</v>
      </c>
      <c r="J91" s="3">
        <v>0</v>
      </c>
      <c r="K91" s="3">
        <v>34</v>
      </c>
      <c r="L91" s="3" t="s">
        <v>28</v>
      </c>
      <c r="M91" s="3"/>
      <c r="N91" s="3" t="b">
        <f>TRUE()</f>
        <v>1</v>
      </c>
      <c r="O91" s="3">
        <v>0</v>
      </c>
      <c r="P91" s="3">
        <v>0</v>
      </c>
      <c r="Q91" s="3" t="b">
        <f>FALSE()</f>
        <v>0</v>
      </c>
      <c r="R91" s="3" t="b">
        <f>FALSE()</f>
        <v>0</v>
      </c>
      <c r="S91" s="3" t="s">
        <v>13</v>
      </c>
      <c r="T91" s="3" t="s">
        <v>29</v>
      </c>
    </row>
    <row r="92" spans="1:20" ht="15" customHeight="1" x14ac:dyDescent="0.25">
      <c r="A92" s="2" t="s">
        <v>264</v>
      </c>
      <c r="B92" s="2" t="s">
        <v>54</v>
      </c>
      <c r="C92" s="2" t="s">
        <v>32</v>
      </c>
      <c r="D92" s="2" t="s">
        <v>253</v>
      </c>
      <c r="E92" s="2" t="s">
        <v>219</v>
      </c>
      <c r="F92" s="2" t="s">
        <v>265</v>
      </c>
      <c r="G92" s="2" t="s">
        <v>266</v>
      </c>
      <c r="H92" s="2" t="s">
        <v>27</v>
      </c>
      <c r="I92" s="2">
        <v>2616.5500000000002</v>
      </c>
      <c r="J92" s="2">
        <v>0</v>
      </c>
      <c r="K92" s="2">
        <v>23</v>
      </c>
      <c r="L92" s="2" t="s">
        <v>28</v>
      </c>
      <c r="M92" s="2"/>
      <c r="N92" s="2" t="b">
        <f>FALSE()</f>
        <v>0</v>
      </c>
      <c r="O92" s="2">
        <v>0</v>
      </c>
      <c r="P92" s="2">
        <v>0</v>
      </c>
      <c r="Q92" s="2" t="b">
        <f>FALSE()</f>
        <v>0</v>
      </c>
      <c r="R92" s="2" t="b">
        <f>FALSE()</f>
        <v>0</v>
      </c>
      <c r="S92" s="2"/>
      <c r="T92" s="2"/>
    </row>
    <row r="93" spans="1:20" ht="15" customHeight="1" x14ac:dyDescent="0.25">
      <c r="A93" s="3" t="s">
        <v>267</v>
      </c>
      <c r="B93" s="3" t="s">
        <v>31</v>
      </c>
      <c r="C93" s="3" t="s">
        <v>32</v>
      </c>
      <c r="D93" s="3" t="s">
        <v>253</v>
      </c>
      <c r="E93" s="3" t="s">
        <v>222</v>
      </c>
      <c r="F93" s="3" t="s">
        <v>265</v>
      </c>
      <c r="G93" s="3" t="s">
        <v>268</v>
      </c>
      <c r="H93" s="3" t="s">
        <v>27</v>
      </c>
      <c r="I93" s="3">
        <v>1197.8599999999999</v>
      </c>
      <c r="J93" s="3">
        <v>0</v>
      </c>
      <c r="K93" s="3">
        <v>38</v>
      </c>
      <c r="L93" s="3" t="s">
        <v>28</v>
      </c>
      <c r="M93" s="3"/>
      <c r="N93" s="3" t="b">
        <f>TRUE()</f>
        <v>1</v>
      </c>
      <c r="O93" s="3">
        <v>0</v>
      </c>
      <c r="P93" s="3">
        <v>0</v>
      </c>
      <c r="Q93" s="3" t="b">
        <f>FALSE()</f>
        <v>0</v>
      </c>
      <c r="R93" s="3" t="b">
        <f>FALSE()</f>
        <v>0</v>
      </c>
      <c r="S93" s="3" t="s">
        <v>13</v>
      </c>
      <c r="T93" s="3" t="s">
        <v>29</v>
      </c>
    </row>
    <row r="94" spans="1:20" ht="15" customHeight="1" x14ac:dyDescent="0.25">
      <c r="A94" s="2" t="s">
        <v>269</v>
      </c>
      <c r="B94" s="2" t="s">
        <v>21</v>
      </c>
      <c r="C94" s="2" t="s">
        <v>22</v>
      </c>
      <c r="D94" s="2" t="s">
        <v>253</v>
      </c>
      <c r="E94" s="2" t="s">
        <v>270</v>
      </c>
      <c r="F94" s="2" t="s">
        <v>271</v>
      </c>
      <c r="G94" s="2"/>
      <c r="H94" s="2" t="s">
        <v>112</v>
      </c>
      <c r="I94" s="2">
        <v>405.64</v>
      </c>
      <c r="J94" s="2">
        <v>405.64</v>
      </c>
      <c r="K94" s="2"/>
      <c r="L94" s="2" t="s">
        <v>260</v>
      </c>
      <c r="M94" s="2">
        <v>16</v>
      </c>
      <c r="N94" s="2" t="b">
        <f>FALSE()</f>
        <v>0</v>
      </c>
      <c r="O94" s="2">
        <v>0</v>
      </c>
      <c r="P94" s="2">
        <v>0</v>
      </c>
      <c r="Q94" s="2" t="b">
        <f>FALSE()</f>
        <v>0</v>
      </c>
      <c r="R94" s="2" t="b">
        <f>FALSE()</f>
        <v>0</v>
      </c>
      <c r="S94" s="2" t="s">
        <v>113</v>
      </c>
      <c r="T94" s="2" t="s">
        <v>65</v>
      </c>
    </row>
    <row r="95" spans="1:20" ht="15" customHeight="1" x14ac:dyDescent="0.25">
      <c r="A95" s="3" t="s">
        <v>272</v>
      </c>
      <c r="B95" s="3" t="s">
        <v>50</v>
      </c>
      <c r="C95" s="3" t="s">
        <v>22</v>
      </c>
      <c r="D95" s="3" t="s">
        <v>253</v>
      </c>
      <c r="E95" s="3" t="s">
        <v>231</v>
      </c>
      <c r="F95" s="3" t="s">
        <v>273</v>
      </c>
      <c r="G95" s="3" t="s">
        <v>274</v>
      </c>
      <c r="H95" s="3" t="s">
        <v>27</v>
      </c>
      <c r="I95" s="3">
        <v>2106.4299999999998</v>
      </c>
      <c r="J95" s="3">
        <v>0</v>
      </c>
      <c r="K95" s="3">
        <v>8</v>
      </c>
      <c r="L95" s="3" t="s">
        <v>28</v>
      </c>
      <c r="M95" s="3"/>
      <c r="N95" s="3" t="b">
        <f>FALSE()</f>
        <v>0</v>
      </c>
      <c r="O95" s="3">
        <v>0</v>
      </c>
      <c r="P95" s="3">
        <v>0</v>
      </c>
      <c r="Q95" s="3" t="b">
        <f>FALSE()</f>
        <v>0</v>
      </c>
      <c r="R95" s="3" t="b">
        <f>FALSE()</f>
        <v>0</v>
      </c>
      <c r="S95" s="3"/>
      <c r="T95" s="3"/>
    </row>
    <row r="96" spans="1:20" ht="15" customHeight="1" x14ac:dyDescent="0.25">
      <c r="A96" s="2" t="s">
        <v>275</v>
      </c>
      <c r="B96" s="2" t="s">
        <v>54</v>
      </c>
      <c r="C96" s="2" t="s">
        <v>32</v>
      </c>
      <c r="D96" s="2" t="s">
        <v>253</v>
      </c>
      <c r="E96" s="2" t="s">
        <v>276</v>
      </c>
      <c r="F96" s="2" t="s">
        <v>277</v>
      </c>
      <c r="G96" s="2" t="s">
        <v>278</v>
      </c>
      <c r="H96" s="2" t="s">
        <v>27</v>
      </c>
      <c r="I96" s="2">
        <v>1324.98</v>
      </c>
      <c r="J96" s="2">
        <v>0</v>
      </c>
      <c r="K96" s="2">
        <v>14</v>
      </c>
      <c r="L96" s="2" t="s">
        <v>28</v>
      </c>
      <c r="M96" s="2"/>
      <c r="N96" s="2" t="b">
        <f>FALSE()</f>
        <v>0</v>
      </c>
      <c r="O96" s="2">
        <v>0</v>
      </c>
      <c r="P96" s="2">
        <v>0</v>
      </c>
      <c r="Q96" s="2" t="b">
        <f>FALSE()</f>
        <v>0</v>
      </c>
      <c r="R96" s="2" t="b">
        <f>FALSE()</f>
        <v>0</v>
      </c>
      <c r="S96" s="2"/>
      <c r="T96" s="2"/>
    </row>
    <row r="97" spans="1:20" ht="15" customHeight="1" x14ac:dyDescent="0.25">
      <c r="A97" s="3" t="s">
        <v>279</v>
      </c>
      <c r="B97" s="3" t="s">
        <v>79</v>
      </c>
      <c r="C97" s="3" t="s">
        <v>32</v>
      </c>
      <c r="D97" s="3" t="s">
        <v>253</v>
      </c>
      <c r="E97" s="3" t="s">
        <v>276</v>
      </c>
      <c r="F97" s="3" t="s">
        <v>277</v>
      </c>
      <c r="G97" s="3"/>
      <c r="H97" s="3" t="s">
        <v>63</v>
      </c>
      <c r="I97" s="3">
        <v>539.79</v>
      </c>
      <c r="J97" s="3">
        <v>539.79</v>
      </c>
      <c r="K97" s="3"/>
      <c r="L97" s="3" t="s">
        <v>260</v>
      </c>
      <c r="M97" s="3">
        <v>12</v>
      </c>
      <c r="N97" s="3" t="b">
        <f>FALSE()</f>
        <v>0</v>
      </c>
      <c r="O97" s="3">
        <v>0</v>
      </c>
      <c r="P97" s="3">
        <v>0</v>
      </c>
      <c r="Q97" s="3" t="b">
        <f>TRUE()</f>
        <v>1</v>
      </c>
      <c r="R97" s="3" t="b">
        <f>FALSE()</f>
        <v>0</v>
      </c>
      <c r="S97" s="3" t="s">
        <v>64</v>
      </c>
      <c r="T97" s="3" t="s">
        <v>65</v>
      </c>
    </row>
    <row r="98" spans="1:20" ht="15" customHeight="1" x14ac:dyDescent="0.25">
      <c r="A98" s="2" t="s">
        <v>280</v>
      </c>
      <c r="B98" s="2" t="s">
        <v>89</v>
      </c>
      <c r="C98" s="2" t="s">
        <v>32</v>
      </c>
      <c r="D98" s="2" t="s">
        <v>253</v>
      </c>
      <c r="E98" s="2" t="s">
        <v>276</v>
      </c>
      <c r="F98" s="2" t="s">
        <v>277</v>
      </c>
      <c r="G98" s="2" t="s">
        <v>237</v>
      </c>
      <c r="H98" s="2" t="s">
        <v>37</v>
      </c>
      <c r="I98" s="2">
        <v>518.05999999999995</v>
      </c>
      <c r="J98" s="2">
        <v>207.22</v>
      </c>
      <c r="K98" s="2"/>
      <c r="L98" s="2" t="s">
        <v>260</v>
      </c>
      <c r="M98" s="2">
        <v>12</v>
      </c>
      <c r="N98" s="2" t="b">
        <f>FALSE()</f>
        <v>0</v>
      </c>
      <c r="O98" s="2">
        <v>0</v>
      </c>
      <c r="P98" s="2">
        <v>10.36</v>
      </c>
      <c r="Q98" s="2" t="b">
        <f>FALSE()</f>
        <v>0</v>
      </c>
      <c r="R98" s="2" t="b">
        <f>FALSE()</f>
        <v>0</v>
      </c>
      <c r="S98" s="2" t="s">
        <v>39</v>
      </c>
      <c r="T98" s="2" t="s">
        <v>40</v>
      </c>
    </row>
    <row r="99" spans="1:20" ht="15" customHeight="1" x14ac:dyDescent="0.25">
      <c r="A99" s="3" t="s">
        <v>281</v>
      </c>
      <c r="B99" s="3" t="s">
        <v>35</v>
      </c>
      <c r="C99" s="3" t="s">
        <v>32</v>
      </c>
      <c r="D99" s="3" t="s">
        <v>253</v>
      </c>
      <c r="E99" s="3" t="s">
        <v>276</v>
      </c>
      <c r="F99" s="3" t="s">
        <v>277</v>
      </c>
      <c r="G99" s="3" t="s">
        <v>271</v>
      </c>
      <c r="H99" s="3" t="s">
        <v>27</v>
      </c>
      <c r="I99" s="3">
        <v>3210.18</v>
      </c>
      <c r="J99" s="3">
        <v>0</v>
      </c>
      <c r="K99" s="3">
        <v>26</v>
      </c>
      <c r="L99" s="3" t="s">
        <v>28</v>
      </c>
      <c r="M99" s="3"/>
      <c r="N99" s="3" t="b">
        <f>FALSE()</f>
        <v>0</v>
      </c>
      <c r="O99" s="3">
        <v>0</v>
      </c>
      <c r="P99" s="3">
        <v>64.2</v>
      </c>
      <c r="Q99" s="3" t="b">
        <f>FALSE()</f>
        <v>0</v>
      </c>
      <c r="R99" s="3" t="b">
        <f>FALSE()</f>
        <v>0</v>
      </c>
      <c r="S99" s="3" t="s">
        <v>39</v>
      </c>
      <c r="T99" s="3" t="s">
        <v>40</v>
      </c>
    </row>
    <row r="100" spans="1:20" ht="15" customHeight="1" x14ac:dyDescent="0.25">
      <c r="A100" s="2" t="s">
        <v>282</v>
      </c>
      <c r="B100" s="2" t="s">
        <v>21</v>
      </c>
      <c r="C100" s="2" t="s">
        <v>22</v>
      </c>
      <c r="D100" s="2" t="s">
        <v>253</v>
      </c>
      <c r="E100" s="2" t="s">
        <v>220</v>
      </c>
      <c r="F100" s="2" t="s">
        <v>283</v>
      </c>
      <c r="G100" s="2"/>
      <c r="H100" s="2" t="s">
        <v>112</v>
      </c>
      <c r="I100" s="2">
        <v>489.21</v>
      </c>
      <c r="J100" s="2">
        <v>489.21</v>
      </c>
      <c r="K100" s="2"/>
      <c r="L100" s="2" t="s">
        <v>260</v>
      </c>
      <c r="M100" s="2">
        <v>9</v>
      </c>
      <c r="N100" s="2" t="b">
        <f>FALSE()</f>
        <v>0</v>
      </c>
      <c r="O100" s="2">
        <v>0</v>
      </c>
      <c r="P100" s="2">
        <v>0</v>
      </c>
      <c r="Q100" s="2" t="b">
        <f>FALSE()</f>
        <v>0</v>
      </c>
      <c r="R100" s="2" t="b">
        <f>FALSE()</f>
        <v>0</v>
      </c>
      <c r="S100" s="2" t="s">
        <v>113</v>
      </c>
      <c r="T100" s="2" t="s">
        <v>65</v>
      </c>
    </row>
    <row r="101" spans="1:20" ht="15" customHeight="1" x14ac:dyDescent="0.25">
      <c r="A101" s="3" t="s">
        <v>284</v>
      </c>
      <c r="B101" s="3" t="s">
        <v>46</v>
      </c>
      <c r="C101" s="3" t="s">
        <v>32</v>
      </c>
      <c r="D101" s="3" t="s">
        <v>253</v>
      </c>
      <c r="E101" s="3" t="s">
        <v>220</v>
      </c>
      <c r="F101" s="3" t="s">
        <v>283</v>
      </c>
      <c r="G101" s="3"/>
      <c r="H101" s="3" t="s">
        <v>112</v>
      </c>
      <c r="I101" s="3">
        <v>1371.86</v>
      </c>
      <c r="J101" s="3">
        <v>1371.86</v>
      </c>
      <c r="K101" s="3"/>
      <c r="L101" s="3" t="s">
        <v>260</v>
      </c>
      <c r="M101" s="3">
        <v>9</v>
      </c>
      <c r="N101" s="3" t="b">
        <f>FALSE()</f>
        <v>0</v>
      </c>
      <c r="O101" s="3">
        <v>0</v>
      </c>
      <c r="P101" s="3">
        <v>0</v>
      </c>
      <c r="Q101" s="3" t="b">
        <f>FALSE()</f>
        <v>0</v>
      </c>
      <c r="R101" s="3" t="b">
        <f>FALSE()</f>
        <v>0</v>
      </c>
      <c r="S101" s="3" t="s">
        <v>113</v>
      </c>
      <c r="T101" s="3" t="s">
        <v>65</v>
      </c>
    </row>
    <row r="102" spans="1:20" ht="15" customHeight="1" x14ac:dyDescent="0.25">
      <c r="A102" s="2" t="s">
        <v>285</v>
      </c>
      <c r="B102" s="2" t="s">
        <v>83</v>
      </c>
      <c r="C102" s="2" t="s">
        <v>22</v>
      </c>
      <c r="D102" s="2" t="s">
        <v>253</v>
      </c>
      <c r="E102" s="2" t="s">
        <v>239</v>
      </c>
      <c r="F102" s="2" t="s">
        <v>286</v>
      </c>
      <c r="G102" s="2" t="s">
        <v>229</v>
      </c>
      <c r="H102" s="2" t="s">
        <v>27</v>
      </c>
      <c r="I102" s="2">
        <v>621.64</v>
      </c>
      <c r="J102" s="2">
        <v>0</v>
      </c>
      <c r="K102" s="2">
        <v>7</v>
      </c>
      <c r="L102" s="2" t="s">
        <v>28</v>
      </c>
      <c r="M102" s="2"/>
      <c r="N102" s="2" t="b">
        <f>FALSE()</f>
        <v>0</v>
      </c>
      <c r="O102" s="2">
        <v>0</v>
      </c>
      <c r="P102" s="2">
        <v>0</v>
      </c>
      <c r="Q102" s="2" t="b">
        <f>FALSE()</f>
        <v>0</v>
      </c>
      <c r="R102" s="2" t="b">
        <f>FALSE()</f>
        <v>0</v>
      </c>
      <c r="S102" s="2"/>
      <c r="T102" s="2"/>
    </row>
    <row r="103" spans="1:20" ht="15" customHeight="1" x14ac:dyDescent="0.25">
      <c r="A103" s="3" t="s">
        <v>287</v>
      </c>
      <c r="B103" s="3" t="s">
        <v>61</v>
      </c>
      <c r="C103" s="3" t="s">
        <v>22</v>
      </c>
      <c r="D103" s="3" t="s">
        <v>253</v>
      </c>
      <c r="E103" s="3" t="s">
        <v>239</v>
      </c>
      <c r="F103" s="3" t="s">
        <v>286</v>
      </c>
      <c r="G103" s="3" t="s">
        <v>236</v>
      </c>
      <c r="H103" s="3" t="s">
        <v>27</v>
      </c>
      <c r="I103" s="3">
        <v>125.11</v>
      </c>
      <c r="J103" s="3">
        <v>0</v>
      </c>
      <c r="K103" s="3">
        <v>13</v>
      </c>
      <c r="L103" s="3" t="s">
        <v>28</v>
      </c>
      <c r="M103" s="3"/>
      <c r="N103" s="3" t="b">
        <f>FALSE()</f>
        <v>0</v>
      </c>
      <c r="O103" s="3">
        <v>0</v>
      </c>
      <c r="P103" s="3">
        <v>0</v>
      </c>
      <c r="Q103" s="3" t="b">
        <f>FALSE()</f>
        <v>0</v>
      </c>
      <c r="R103" s="3" t="b">
        <f>FALSE()</f>
        <v>0</v>
      </c>
      <c r="S103" s="3"/>
      <c r="T103" s="3"/>
    </row>
    <row r="104" spans="1:20" ht="15" customHeight="1" x14ac:dyDescent="0.25">
      <c r="A104" s="2" t="s">
        <v>288</v>
      </c>
      <c r="B104" s="2" t="s">
        <v>35</v>
      </c>
      <c r="C104" s="2" t="s">
        <v>32</v>
      </c>
      <c r="D104" s="2" t="s">
        <v>253</v>
      </c>
      <c r="E104" s="2" t="s">
        <v>239</v>
      </c>
      <c r="F104" s="2" t="s">
        <v>259</v>
      </c>
      <c r="G104" s="2"/>
      <c r="H104" s="2" t="s">
        <v>63</v>
      </c>
      <c r="I104" s="2">
        <v>2032.45</v>
      </c>
      <c r="J104" s="2">
        <v>2032.45</v>
      </c>
      <c r="K104" s="2"/>
      <c r="L104" s="2" t="s">
        <v>260</v>
      </c>
      <c r="M104" s="2">
        <v>8</v>
      </c>
      <c r="N104" s="2" t="b">
        <f>FALSE()</f>
        <v>0</v>
      </c>
      <c r="O104" s="2">
        <v>0</v>
      </c>
      <c r="P104" s="2">
        <v>40.65</v>
      </c>
      <c r="Q104" s="2" t="b">
        <f>TRUE()</f>
        <v>1</v>
      </c>
      <c r="R104" s="2" t="b">
        <f>FALSE()</f>
        <v>0</v>
      </c>
      <c r="S104" s="2" t="s">
        <v>64</v>
      </c>
      <c r="T104" s="2" t="s">
        <v>65</v>
      </c>
    </row>
    <row r="105" spans="1:20" ht="15" customHeight="1" x14ac:dyDescent="0.25">
      <c r="A105" s="3" t="s">
        <v>289</v>
      </c>
      <c r="B105" s="3" t="s">
        <v>96</v>
      </c>
      <c r="C105" s="3" t="s">
        <v>32</v>
      </c>
      <c r="D105" s="3" t="s">
        <v>253</v>
      </c>
      <c r="E105" s="3" t="s">
        <v>242</v>
      </c>
      <c r="F105" s="3" t="s">
        <v>290</v>
      </c>
      <c r="G105" s="3" t="s">
        <v>262</v>
      </c>
      <c r="H105" s="3" t="s">
        <v>37</v>
      </c>
      <c r="I105" s="3">
        <v>1041.1300000000001</v>
      </c>
      <c r="J105" s="3">
        <v>416.45</v>
      </c>
      <c r="K105" s="3"/>
      <c r="L105" s="3" t="s">
        <v>260</v>
      </c>
      <c r="M105" s="3">
        <v>5</v>
      </c>
      <c r="N105" s="3" t="b">
        <f>FALSE()</f>
        <v>0</v>
      </c>
      <c r="O105" s="3">
        <v>0</v>
      </c>
      <c r="P105" s="3">
        <v>0</v>
      </c>
      <c r="Q105" s="3" t="b">
        <f>FALSE()</f>
        <v>0</v>
      </c>
      <c r="R105" s="3" t="b">
        <f>FALSE()</f>
        <v>0</v>
      </c>
      <c r="S105" s="3" t="s">
        <v>113</v>
      </c>
      <c r="T105" s="3" t="s">
        <v>65</v>
      </c>
    </row>
    <row r="106" spans="1:20" ht="15" customHeight="1" x14ac:dyDescent="0.25">
      <c r="A106" s="2" t="s">
        <v>291</v>
      </c>
      <c r="B106" s="2" t="s">
        <v>86</v>
      </c>
      <c r="C106" s="2" t="s">
        <v>22</v>
      </c>
      <c r="D106" s="2" t="s">
        <v>253</v>
      </c>
      <c r="E106" s="2" t="s">
        <v>242</v>
      </c>
      <c r="F106" s="2" t="s">
        <v>290</v>
      </c>
      <c r="G106" s="2" t="s">
        <v>292</v>
      </c>
      <c r="H106" s="2" t="s">
        <v>27</v>
      </c>
      <c r="I106" s="2">
        <v>4953.99</v>
      </c>
      <c r="J106" s="2">
        <v>0</v>
      </c>
      <c r="K106" s="2">
        <v>5</v>
      </c>
      <c r="L106" s="2" t="s">
        <v>28</v>
      </c>
      <c r="M106" s="2"/>
      <c r="N106" s="2" t="b">
        <f>FALSE()</f>
        <v>0</v>
      </c>
      <c r="O106" s="2">
        <v>0</v>
      </c>
      <c r="P106" s="2">
        <v>0</v>
      </c>
      <c r="Q106" s="2" t="b">
        <f>FALSE()</f>
        <v>0</v>
      </c>
      <c r="R106" s="2" t="b">
        <f>FALSE()</f>
        <v>0</v>
      </c>
      <c r="S106" s="2"/>
      <c r="T106" s="2"/>
    </row>
    <row r="107" spans="1:20" ht="15" customHeight="1" x14ac:dyDescent="0.25">
      <c r="A107" s="3" t="s">
        <v>293</v>
      </c>
      <c r="B107" s="3" t="s">
        <v>75</v>
      </c>
      <c r="C107" s="3" t="s">
        <v>22</v>
      </c>
      <c r="D107" s="3" t="s">
        <v>253</v>
      </c>
      <c r="E107" s="3" t="s">
        <v>294</v>
      </c>
      <c r="F107" s="3" t="s">
        <v>290</v>
      </c>
      <c r="G107" s="3" t="s">
        <v>295</v>
      </c>
      <c r="H107" s="3" t="s">
        <v>27</v>
      </c>
      <c r="I107" s="3">
        <v>4587.42</v>
      </c>
      <c r="J107" s="3">
        <v>0</v>
      </c>
      <c r="K107" s="3">
        <v>6</v>
      </c>
      <c r="L107" s="3" t="s">
        <v>28</v>
      </c>
      <c r="M107" s="3"/>
      <c r="N107" s="3" t="b">
        <f>FALSE()</f>
        <v>0</v>
      </c>
      <c r="O107" s="3">
        <v>0</v>
      </c>
      <c r="P107" s="3">
        <v>0</v>
      </c>
      <c r="Q107" s="3" t="b">
        <f>FALSE()</f>
        <v>0</v>
      </c>
      <c r="R107" s="3" t="b">
        <f>FALSE()</f>
        <v>0</v>
      </c>
      <c r="S107" s="3"/>
      <c r="T107" s="3"/>
    </row>
    <row r="108" spans="1:20" ht="15" customHeight="1" x14ac:dyDescent="0.25">
      <c r="A108" s="2" t="s">
        <v>296</v>
      </c>
      <c r="B108" s="2" t="s">
        <v>83</v>
      </c>
      <c r="C108" s="2" t="s">
        <v>22</v>
      </c>
      <c r="D108" s="2" t="s">
        <v>253</v>
      </c>
      <c r="E108" s="2" t="s">
        <v>297</v>
      </c>
      <c r="F108" s="2" t="s">
        <v>265</v>
      </c>
      <c r="G108" s="2"/>
      <c r="H108" s="2" t="s">
        <v>112</v>
      </c>
      <c r="I108" s="2">
        <v>656.81</v>
      </c>
      <c r="J108" s="2">
        <v>656.81</v>
      </c>
      <c r="K108" s="2"/>
      <c r="L108" s="2" t="s">
        <v>260</v>
      </c>
      <c r="M108" s="2">
        <v>19</v>
      </c>
      <c r="N108" s="2" t="b">
        <f>FALSE()</f>
        <v>0</v>
      </c>
      <c r="O108" s="2">
        <v>0</v>
      </c>
      <c r="P108" s="2">
        <v>0</v>
      </c>
      <c r="Q108" s="2" t="b">
        <f>FALSE()</f>
        <v>0</v>
      </c>
      <c r="R108" s="2" t="b">
        <f>FALSE()</f>
        <v>0</v>
      </c>
      <c r="S108" s="2" t="s">
        <v>113</v>
      </c>
      <c r="T108" s="2" t="s">
        <v>65</v>
      </c>
    </row>
    <row r="109" spans="1:20" ht="15" customHeight="1" x14ac:dyDescent="0.25">
      <c r="A109" s="3" t="s">
        <v>298</v>
      </c>
      <c r="B109" s="3" t="s">
        <v>79</v>
      </c>
      <c r="C109" s="3" t="s">
        <v>32</v>
      </c>
      <c r="D109" s="3" t="s">
        <v>253</v>
      </c>
      <c r="E109" s="3" t="s">
        <v>297</v>
      </c>
      <c r="F109" s="3" t="s">
        <v>299</v>
      </c>
      <c r="G109" s="3" t="s">
        <v>265</v>
      </c>
      <c r="H109" s="3" t="s">
        <v>27</v>
      </c>
      <c r="I109" s="3">
        <v>556.04</v>
      </c>
      <c r="J109" s="3">
        <v>0</v>
      </c>
      <c r="K109" s="3">
        <v>15</v>
      </c>
      <c r="L109" s="3" t="s">
        <v>28</v>
      </c>
      <c r="M109" s="3"/>
      <c r="N109" s="3" t="b">
        <f>FALSE()</f>
        <v>0</v>
      </c>
      <c r="O109" s="3">
        <v>0</v>
      </c>
      <c r="P109" s="3">
        <v>0</v>
      </c>
      <c r="Q109" s="3" t="b">
        <f>FALSE()</f>
        <v>0</v>
      </c>
      <c r="R109" s="3" t="b">
        <f>FALSE()</f>
        <v>0</v>
      </c>
      <c r="S109" s="3"/>
      <c r="T109" s="3"/>
    </row>
    <row r="110" spans="1:20" ht="15" customHeight="1" x14ac:dyDescent="0.25">
      <c r="A110" s="2" t="s">
        <v>300</v>
      </c>
      <c r="B110" s="2" t="s">
        <v>96</v>
      </c>
      <c r="C110" s="2" t="s">
        <v>32</v>
      </c>
      <c r="D110" s="2" t="s">
        <v>301</v>
      </c>
      <c r="E110" s="2" t="s">
        <v>278</v>
      </c>
      <c r="F110" s="2" t="s">
        <v>273</v>
      </c>
      <c r="G110" s="2" t="s">
        <v>302</v>
      </c>
      <c r="H110" s="2" t="s">
        <v>27</v>
      </c>
      <c r="I110" s="2">
        <v>1117.77</v>
      </c>
      <c r="J110" s="2">
        <v>0</v>
      </c>
      <c r="K110" s="2">
        <v>14</v>
      </c>
      <c r="L110" s="2" t="s">
        <v>28</v>
      </c>
      <c r="M110" s="2"/>
      <c r="N110" s="2" t="b">
        <f>FALSE()</f>
        <v>0</v>
      </c>
      <c r="O110" s="2">
        <v>0</v>
      </c>
      <c r="P110" s="2">
        <v>0</v>
      </c>
      <c r="Q110" s="2" t="b">
        <f>FALSE()</f>
        <v>0</v>
      </c>
      <c r="R110" s="2" t="b">
        <f>FALSE()</f>
        <v>0</v>
      </c>
      <c r="S110" s="2"/>
      <c r="T110" s="2"/>
    </row>
    <row r="111" spans="1:20" ht="15" customHeight="1" x14ac:dyDescent="0.25">
      <c r="A111" s="3" t="s">
        <v>303</v>
      </c>
      <c r="B111" s="3" t="s">
        <v>83</v>
      </c>
      <c r="C111" s="3" t="s">
        <v>22</v>
      </c>
      <c r="D111" s="3" t="s">
        <v>301</v>
      </c>
      <c r="E111" s="3" t="s">
        <v>304</v>
      </c>
      <c r="F111" s="3" t="s">
        <v>268</v>
      </c>
      <c r="G111" s="3" t="s">
        <v>271</v>
      </c>
      <c r="H111" s="3" t="s">
        <v>27</v>
      </c>
      <c r="I111" s="3">
        <v>480.03</v>
      </c>
      <c r="J111" s="3">
        <v>0</v>
      </c>
      <c r="K111" s="3">
        <v>10</v>
      </c>
      <c r="L111" s="3" t="s">
        <v>28</v>
      </c>
      <c r="M111" s="3"/>
      <c r="N111" s="3" t="b">
        <f>FALSE()</f>
        <v>0</v>
      </c>
      <c r="O111" s="3">
        <v>0</v>
      </c>
      <c r="P111" s="3">
        <v>0</v>
      </c>
      <c r="Q111" s="3" t="b">
        <f>FALSE()</f>
        <v>0</v>
      </c>
      <c r="R111" s="3" t="b">
        <f>FALSE()</f>
        <v>0</v>
      </c>
      <c r="S111" s="3"/>
      <c r="T111" s="3"/>
    </row>
    <row r="112" spans="1:20" ht="15" customHeight="1" x14ac:dyDescent="0.25">
      <c r="A112" s="2" t="s">
        <v>305</v>
      </c>
      <c r="B112" s="2" t="s">
        <v>50</v>
      </c>
      <c r="C112" s="2" t="s">
        <v>22</v>
      </c>
      <c r="D112" s="2" t="s">
        <v>301</v>
      </c>
      <c r="E112" s="2" t="s">
        <v>266</v>
      </c>
      <c r="F112" s="2" t="s">
        <v>306</v>
      </c>
      <c r="G112" s="2"/>
      <c r="H112" s="2" t="s">
        <v>307</v>
      </c>
      <c r="I112" s="2">
        <v>2101.88</v>
      </c>
      <c r="J112" s="2">
        <v>2101.88</v>
      </c>
      <c r="K112" s="2"/>
      <c r="L112" s="2" t="s">
        <v>28</v>
      </c>
      <c r="M112" s="2"/>
      <c r="N112" s="2" t="b">
        <f>FALSE()</f>
        <v>0</v>
      </c>
      <c r="O112" s="2">
        <v>0</v>
      </c>
      <c r="P112" s="2">
        <v>0</v>
      </c>
      <c r="Q112" s="2" t="b">
        <f>FALSE()</f>
        <v>0</v>
      </c>
      <c r="R112" s="2" t="b">
        <f>FALSE()</f>
        <v>0</v>
      </c>
      <c r="S112" s="2"/>
      <c r="T112" s="2"/>
    </row>
    <row r="113" spans="1:20" ht="15" customHeight="1" x14ac:dyDescent="0.25">
      <c r="A113" s="3" t="s">
        <v>308</v>
      </c>
      <c r="B113" s="3" t="s">
        <v>75</v>
      </c>
      <c r="C113" s="3" t="s">
        <v>22</v>
      </c>
      <c r="D113" s="3" t="s">
        <v>301</v>
      </c>
      <c r="E113" s="3" t="s">
        <v>266</v>
      </c>
      <c r="F113" s="3" t="s">
        <v>309</v>
      </c>
      <c r="G113" s="3"/>
      <c r="H113" s="3" t="s">
        <v>307</v>
      </c>
      <c r="I113" s="3">
        <v>2243.4699999999998</v>
      </c>
      <c r="J113" s="3">
        <v>2243.4699999999998</v>
      </c>
      <c r="K113" s="3"/>
      <c r="L113" s="3" t="s">
        <v>28</v>
      </c>
      <c r="M113" s="3"/>
      <c r="N113" s="3" t="b">
        <f>FALSE()</f>
        <v>0</v>
      </c>
      <c r="O113" s="3">
        <v>0</v>
      </c>
      <c r="P113" s="3">
        <v>0</v>
      </c>
      <c r="Q113" s="3" t="b">
        <f>FALSE()</f>
        <v>0</v>
      </c>
      <c r="R113" s="3" t="b">
        <f>FALSE()</f>
        <v>0</v>
      </c>
      <c r="S113" s="3"/>
      <c r="T113" s="3"/>
    </row>
    <row r="114" spans="1:20" ht="15" customHeight="1" x14ac:dyDescent="0.25">
      <c r="A114" s="2" t="s">
        <v>310</v>
      </c>
      <c r="B114" s="2" t="s">
        <v>79</v>
      </c>
      <c r="C114" s="2" t="s">
        <v>32</v>
      </c>
      <c r="D114" s="2" t="s">
        <v>301</v>
      </c>
      <c r="E114" s="2" t="s">
        <v>256</v>
      </c>
      <c r="F114" s="2" t="s">
        <v>311</v>
      </c>
      <c r="G114" s="2" t="s">
        <v>283</v>
      </c>
      <c r="H114" s="2" t="s">
        <v>27</v>
      </c>
      <c r="I114" s="2">
        <v>440.7</v>
      </c>
      <c r="J114" s="2">
        <v>0</v>
      </c>
      <c r="K114" s="2">
        <v>12</v>
      </c>
      <c r="L114" s="2" t="s">
        <v>28</v>
      </c>
      <c r="M114" s="2"/>
      <c r="N114" s="2" t="b">
        <f>FALSE()</f>
        <v>0</v>
      </c>
      <c r="O114" s="2">
        <v>0</v>
      </c>
      <c r="P114" s="2">
        <v>0</v>
      </c>
      <c r="Q114" s="2" t="b">
        <f>FALSE()</f>
        <v>0</v>
      </c>
      <c r="R114" s="2" t="b">
        <f>FALSE()</f>
        <v>0</v>
      </c>
      <c r="S114" s="2"/>
      <c r="T114" s="2"/>
    </row>
    <row r="115" spans="1:20" ht="15" customHeight="1" x14ac:dyDescent="0.25">
      <c r="A115" s="3" t="s">
        <v>312</v>
      </c>
      <c r="B115" s="3" t="s">
        <v>21</v>
      </c>
      <c r="C115" s="3" t="s">
        <v>22</v>
      </c>
      <c r="D115" s="3" t="s">
        <v>301</v>
      </c>
      <c r="E115" s="3" t="s">
        <v>286</v>
      </c>
      <c r="F115" s="3" t="s">
        <v>311</v>
      </c>
      <c r="G115" s="3" t="s">
        <v>299</v>
      </c>
      <c r="H115" s="3" t="s">
        <v>27</v>
      </c>
      <c r="I115" s="3">
        <v>140.29</v>
      </c>
      <c r="J115" s="3">
        <v>0</v>
      </c>
      <c r="K115" s="3">
        <v>17</v>
      </c>
      <c r="L115" s="3" t="s">
        <v>28</v>
      </c>
      <c r="M115" s="3"/>
      <c r="N115" s="3" t="b">
        <f>FALSE()</f>
        <v>0</v>
      </c>
      <c r="O115" s="3">
        <v>0</v>
      </c>
      <c r="P115" s="3">
        <v>0</v>
      </c>
      <c r="Q115" s="3" t="b">
        <f>FALSE()</f>
        <v>0</v>
      </c>
      <c r="R115" s="3" t="b">
        <f>FALSE()</f>
        <v>0</v>
      </c>
      <c r="S115" s="3"/>
      <c r="T115" s="3"/>
    </row>
    <row r="116" spans="1:20" ht="15" customHeight="1" x14ac:dyDescent="0.25">
      <c r="A116" s="2" t="s">
        <v>313</v>
      </c>
      <c r="B116" s="2" t="s">
        <v>89</v>
      </c>
      <c r="C116" s="2" t="s">
        <v>32</v>
      </c>
      <c r="D116" s="2" t="s">
        <v>301</v>
      </c>
      <c r="E116" s="2" t="s">
        <v>286</v>
      </c>
      <c r="F116" s="2" t="s">
        <v>311</v>
      </c>
      <c r="G116" s="2"/>
      <c r="H116" s="2" t="s">
        <v>307</v>
      </c>
      <c r="I116" s="2">
        <v>955.16</v>
      </c>
      <c r="J116" s="2">
        <v>955.16</v>
      </c>
      <c r="K116" s="2"/>
      <c r="L116" s="2" t="s">
        <v>28</v>
      </c>
      <c r="M116" s="2"/>
      <c r="N116" s="2" t="b">
        <f>FALSE()</f>
        <v>0</v>
      </c>
      <c r="O116" s="2">
        <v>0</v>
      </c>
      <c r="P116" s="2">
        <v>19.100000000000001</v>
      </c>
      <c r="Q116" s="2" t="b">
        <f>FALSE()</f>
        <v>0</v>
      </c>
      <c r="R116" s="2" t="b">
        <f>FALSE()</f>
        <v>0</v>
      </c>
      <c r="S116" s="2" t="s">
        <v>39</v>
      </c>
      <c r="T116" s="2" t="s">
        <v>40</v>
      </c>
    </row>
    <row r="117" spans="1:20" ht="15" customHeight="1" x14ac:dyDescent="0.25">
      <c r="A117" s="3" t="s">
        <v>314</v>
      </c>
      <c r="B117" s="3" t="s">
        <v>35</v>
      </c>
      <c r="C117" s="3" t="s">
        <v>32</v>
      </c>
      <c r="D117" s="3" t="s">
        <v>301</v>
      </c>
      <c r="E117" s="3" t="s">
        <v>262</v>
      </c>
      <c r="F117" s="3" t="s">
        <v>311</v>
      </c>
      <c r="G117" s="3" t="s">
        <v>315</v>
      </c>
      <c r="H117" s="3" t="s">
        <v>27</v>
      </c>
      <c r="I117" s="3">
        <v>1920.14</v>
      </c>
      <c r="J117" s="3">
        <v>0</v>
      </c>
      <c r="K117" s="3">
        <v>15</v>
      </c>
      <c r="L117" s="3" t="s">
        <v>28</v>
      </c>
      <c r="M117" s="3"/>
      <c r="N117" s="3" t="b">
        <f>FALSE()</f>
        <v>0</v>
      </c>
      <c r="O117" s="3">
        <v>0</v>
      </c>
      <c r="P117" s="3">
        <v>38.4</v>
      </c>
      <c r="Q117" s="3" t="b">
        <f>FALSE()</f>
        <v>0</v>
      </c>
      <c r="R117" s="3" t="b">
        <f>FALSE()</f>
        <v>0</v>
      </c>
      <c r="S117" s="3" t="s">
        <v>39</v>
      </c>
      <c r="T117" s="3" t="s">
        <v>40</v>
      </c>
    </row>
    <row r="118" spans="1:20" ht="15" customHeight="1" x14ac:dyDescent="0.25">
      <c r="A118" s="2" t="s">
        <v>316</v>
      </c>
      <c r="B118" s="2" t="s">
        <v>83</v>
      </c>
      <c r="C118" s="2" t="s">
        <v>22</v>
      </c>
      <c r="D118" s="2" t="s">
        <v>301</v>
      </c>
      <c r="E118" s="2" t="s">
        <v>317</v>
      </c>
      <c r="F118" s="2" t="s">
        <v>290</v>
      </c>
      <c r="G118" s="2" t="s">
        <v>277</v>
      </c>
      <c r="H118" s="2" t="s">
        <v>27</v>
      </c>
      <c r="I118" s="2">
        <v>466.31</v>
      </c>
      <c r="J118" s="2">
        <v>0</v>
      </c>
      <c r="K118" s="2">
        <v>8</v>
      </c>
      <c r="L118" s="2" t="s">
        <v>28</v>
      </c>
      <c r="M118" s="2"/>
      <c r="N118" s="2" t="b">
        <f>FALSE()</f>
        <v>0</v>
      </c>
      <c r="O118" s="2">
        <v>0</v>
      </c>
      <c r="P118" s="2">
        <v>0</v>
      </c>
      <c r="Q118" s="2" t="b">
        <f>FALSE()</f>
        <v>0</v>
      </c>
      <c r="R118" s="2" t="b">
        <f>FALSE()</f>
        <v>0</v>
      </c>
      <c r="S118" s="2"/>
      <c r="T118" s="2"/>
    </row>
    <row r="119" spans="1:20" ht="15" customHeight="1" x14ac:dyDescent="0.25">
      <c r="A119" s="3" t="s">
        <v>318</v>
      </c>
      <c r="B119" s="3" t="s">
        <v>86</v>
      </c>
      <c r="C119" s="3" t="s">
        <v>22</v>
      </c>
      <c r="D119" s="3" t="s">
        <v>301</v>
      </c>
      <c r="E119" s="3" t="s">
        <v>319</v>
      </c>
      <c r="F119" s="3" t="s">
        <v>320</v>
      </c>
      <c r="G119" s="3"/>
      <c r="H119" s="3" t="s">
        <v>307</v>
      </c>
      <c r="I119" s="3">
        <v>2680.01</v>
      </c>
      <c r="J119" s="3">
        <v>2680.01</v>
      </c>
      <c r="K119" s="3"/>
      <c r="L119" s="3" t="s">
        <v>28</v>
      </c>
      <c r="M119" s="3"/>
      <c r="N119" s="3" t="b">
        <f>FALSE()</f>
        <v>0</v>
      </c>
      <c r="O119" s="3">
        <v>0</v>
      </c>
      <c r="P119" s="3">
        <v>0</v>
      </c>
      <c r="Q119" s="3" t="b">
        <f>FALSE()</f>
        <v>0</v>
      </c>
      <c r="R119" s="3" t="b">
        <f>FALSE()</f>
        <v>0</v>
      </c>
      <c r="S119" s="3"/>
      <c r="T119" s="3"/>
    </row>
    <row r="120" spans="1:20" ht="15" customHeight="1" x14ac:dyDescent="0.25">
      <c r="A120" s="2" t="s">
        <v>321</v>
      </c>
      <c r="B120" s="2" t="s">
        <v>96</v>
      </c>
      <c r="C120" s="2" t="s">
        <v>32</v>
      </c>
      <c r="D120" s="2" t="s">
        <v>301</v>
      </c>
      <c r="E120" s="2" t="s">
        <v>302</v>
      </c>
      <c r="F120" s="2" t="s">
        <v>322</v>
      </c>
      <c r="G120" s="2"/>
      <c r="H120" s="2" t="s">
        <v>307</v>
      </c>
      <c r="I120" s="2">
        <v>1015.84</v>
      </c>
      <c r="J120" s="2">
        <v>1015.84</v>
      </c>
      <c r="K120" s="2"/>
      <c r="L120" s="2" t="s">
        <v>28</v>
      </c>
      <c r="M120" s="2"/>
      <c r="N120" s="2" t="b">
        <f>FALSE()</f>
        <v>0</v>
      </c>
      <c r="O120" s="2">
        <v>0</v>
      </c>
      <c r="P120" s="2">
        <v>0</v>
      </c>
      <c r="Q120" s="2" t="b">
        <f>FALSE()</f>
        <v>0</v>
      </c>
      <c r="R120" s="2" t="b">
        <f>FALSE()</f>
        <v>0</v>
      </c>
      <c r="S120" s="2"/>
      <c r="T120" s="2"/>
    </row>
    <row r="121" spans="1:20" ht="15" customHeight="1" x14ac:dyDescent="0.25">
      <c r="A121" s="3" t="s">
        <v>323</v>
      </c>
      <c r="B121" s="3" t="s">
        <v>61</v>
      </c>
      <c r="C121" s="3" t="s">
        <v>22</v>
      </c>
      <c r="D121" s="3" t="s">
        <v>301</v>
      </c>
      <c r="E121" s="3" t="s">
        <v>277</v>
      </c>
      <c r="F121" s="3" t="s">
        <v>324</v>
      </c>
      <c r="G121" s="3"/>
      <c r="H121" s="3" t="s">
        <v>307</v>
      </c>
      <c r="I121" s="3">
        <v>573.03</v>
      </c>
      <c r="J121" s="3">
        <v>573.03</v>
      </c>
      <c r="K121" s="3"/>
      <c r="L121" s="3" t="s">
        <v>28</v>
      </c>
      <c r="M121" s="3"/>
      <c r="N121" s="3" t="b">
        <f>FALSE()</f>
        <v>0</v>
      </c>
      <c r="O121" s="3">
        <v>0</v>
      </c>
      <c r="P121" s="3">
        <v>0</v>
      </c>
      <c r="Q121" s="3" t="b">
        <f>FALSE()</f>
        <v>0</v>
      </c>
      <c r="R121" s="3" t="b">
        <f>FALSE()</f>
        <v>0</v>
      </c>
      <c r="S121" s="3"/>
      <c r="T121" s="3"/>
    </row>
    <row r="122" spans="1:20" ht="15" customHeight="1" x14ac:dyDescent="0.25">
      <c r="A122" s="2" t="s">
        <v>325</v>
      </c>
      <c r="B122" s="2" t="s">
        <v>89</v>
      </c>
      <c r="C122" s="2" t="s">
        <v>32</v>
      </c>
      <c r="D122" s="2" t="s">
        <v>301</v>
      </c>
      <c r="E122" s="2" t="s">
        <v>268</v>
      </c>
      <c r="F122" s="2" t="s">
        <v>306</v>
      </c>
      <c r="G122" s="2"/>
      <c r="H122" s="2" t="s">
        <v>307</v>
      </c>
      <c r="I122" s="2">
        <v>704.3</v>
      </c>
      <c r="J122" s="2">
        <v>704.3</v>
      </c>
      <c r="K122" s="2"/>
      <c r="L122" s="2" t="s">
        <v>28</v>
      </c>
      <c r="M122" s="2"/>
      <c r="N122" s="2" t="b">
        <f>FALSE()</f>
        <v>0</v>
      </c>
      <c r="O122" s="2">
        <v>0</v>
      </c>
      <c r="P122" s="2">
        <v>0</v>
      </c>
      <c r="Q122" s="2" t="b">
        <f>FALSE()</f>
        <v>0</v>
      </c>
      <c r="R122" s="2" t="b">
        <f>FALSE()</f>
        <v>0</v>
      </c>
      <c r="S122" s="2"/>
      <c r="T122" s="2"/>
    </row>
    <row r="123" spans="1:20" ht="15" customHeight="1" x14ac:dyDescent="0.25">
      <c r="A123" s="3" t="s">
        <v>326</v>
      </c>
      <c r="B123" s="3" t="s">
        <v>35</v>
      </c>
      <c r="C123" s="3" t="s">
        <v>32</v>
      </c>
      <c r="D123" s="3" t="s">
        <v>301</v>
      </c>
      <c r="E123" s="3" t="s">
        <v>268</v>
      </c>
      <c r="F123" s="3" t="s">
        <v>306</v>
      </c>
      <c r="G123" s="3"/>
      <c r="H123" s="3" t="s">
        <v>307</v>
      </c>
      <c r="I123" s="3">
        <v>1606.25</v>
      </c>
      <c r="J123" s="3">
        <v>1606.25</v>
      </c>
      <c r="K123" s="3"/>
      <c r="L123" s="3" t="s">
        <v>28</v>
      </c>
      <c r="M123" s="3"/>
      <c r="N123" s="3" t="b">
        <f>FALSE()</f>
        <v>0</v>
      </c>
      <c r="O123" s="3">
        <v>0</v>
      </c>
      <c r="P123" s="3">
        <v>0</v>
      </c>
      <c r="Q123" s="3" t="b">
        <f>FALSE()</f>
        <v>0</v>
      </c>
      <c r="R123" s="3" t="b">
        <f>FALSE()</f>
        <v>0</v>
      </c>
      <c r="S123" s="3"/>
      <c r="T123" s="3"/>
    </row>
    <row r="124" spans="1:20" ht="15" customHeight="1" x14ac:dyDescent="0.25">
      <c r="A124" s="2" t="s">
        <v>327</v>
      </c>
      <c r="B124" s="2" t="s">
        <v>31</v>
      </c>
      <c r="C124" s="2" t="s">
        <v>32</v>
      </c>
      <c r="D124" s="2" t="s">
        <v>301</v>
      </c>
      <c r="E124" s="2" t="s">
        <v>328</v>
      </c>
      <c r="F124" s="2" t="s">
        <v>329</v>
      </c>
      <c r="G124" s="2"/>
      <c r="H124" s="2" t="s">
        <v>307</v>
      </c>
      <c r="I124" s="2">
        <v>1852.96</v>
      </c>
      <c r="J124" s="2">
        <v>1852.96</v>
      </c>
      <c r="K124" s="2"/>
      <c r="L124" s="2" t="s">
        <v>28</v>
      </c>
      <c r="M124" s="2"/>
      <c r="N124" s="2" t="b">
        <f>FALSE()</f>
        <v>0</v>
      </c>
      <c r="O124" s="2">
        <v>0</v>
      </c>
      <c r="P124" s="2">
        <v>0</v>
      </c>
      <c r="Q124" s="2" t="b">
        <f>FALSE()</f>
        <v>0</v>
      </c>
      <c r="R124" s="2" t="b">
        <f>FALSE()</f>
        <v>0</v>
      </c>
      <c r="S124" s="2"/>
      <c r="T124" s="2"/>
    </row>
    <row r="125" spans="1:20" ht="15" customHeight="1" x14ac:dyDescent="0.25">
      <c r="A125" s="3" t="s">
        <v>330</v>
      </c>
      <c r="B125" s="3" t="s">
        <v>54</v>
      </c>
      <c r="C125" s="3" t="s">
        <v>32</v>
      </c>
      <c r="D125" s="3" t="s">
        <v>301</v>
      </c>
      <c r="E125" s="3" t="s">
        <v>283</v>
      </c>
      <c r="F125" s="3" t="s">
        <v>329</v>
      </c>
      <c r="G125" s="3"/>
      <c r="H125" s="3" t="s">
        <v>307</v>
      </c>
      <c r="I125" s="3">
        <v>2253.1999999999998</v>
      </c>
      <c r="J125" s="3">
        <v>2253.1999999999998</v>
      </c>
      <c r="K125" s="3"/>
      <c r="L125" s="3" t="s">
        <v>28</v>
      </c>
      <c r="M125" s="3"/>
      <c r="N125" s="3" t="b">
        <f>FALSE()</f>
        <v>0</v>
      </c>
      <c r="O125" s="3">
        <v>0</v>
      </c>
      <c r="P125" s="3">
        <v>0</v>
      </c>
      <c r="Q125" s="3" t="b">
        <f>FALSE()</f>
        <v>0</v>
      </c>
      <c r="R125" s="3" t="b">
        <f>FALSE()</f>
        <v>0</v>
      </c>
      <c r="S125" s="3"/>
      <c r="T125" s="3"/>
    </row>
    <row r="126" spans="1:20" ht="15" customHeight="1" x14ac:dyDescent="0.25">
      <c r="A126" s="2" t="s">
        <v>331</v>
      </c>
      <c r="B126" s="2" t="s">
        <v>61</v>
      </c>
      <c r="C126" s="2" t="s">
        <v>22</v>
      </c>
      <c r="D126" s="2" t="s">
        <v>301</v>
      </c>
      <c r="E126" s="2" t="s">
        <v>283</v>
      </c>
      <c r="F126" s="2" t="s">
        <v>332</v>
      </c>
      <c r="G126" s="2"/>
      <c r="H126" s="2" t="s">
        <v>307</v>
      </c>
      <c r="I126" s="2">
        <v>467.32</v>
      </c>
      <c r="J126" s="2">
        <v>467.32</v>
      </c>
      <c r="K126" s="2"/>
      <c r="L126" s="2" t="s">
        <v>28</v>
      </c>
      <c r="M126" s="2"/>
      <c r="N126" s="2" t="b">
        <f>FALSE()</f>
        <v>0</v>
      </c>
      <c r="O126" s="2">
        <v>0</v>
      </c>
      <c r="P126" s="2">
        <v>0</v>
      </c>
      <c r="Q126" s="2" t="b">
        <f>FALSE()</f>
        <v>0</v>
      </c>
      <c r="R126" s="2" t="b">
        <f>FALSE()</f>
        <v>0</v>
      </c>
      <c r="S126" s="2"/>
      <c r="T126" s="2"/>
    </row>
    <row r="127" spans="1:20" ht="15" customHeight="1" x14ac:dyDescent="0.25">
      <c r="A127" s="3" t="s">
        <v>333</v>
      </c>
      <c r="B127" s="3" t="s">
        <v>67</v>
      </c>
      <c r="C127" s="3" t="s">
        <v>68</v>
      </c>
      <c r="D127" s="3" t="s">
        <v>301</v>
      </c>
      <c r="E127" s="3" t="s">
        <v>315</v>
      </c>
      <c r="F127" s="3" t="s">
        <v>334</v>
      </c>
      <c r="G127" s="3"/>
      <c r="H127" s="3" t="s">
        <v>307</v>
      </c>
      <c r="I127" s="3">
        <v>1040.93</v>
      </c>
      <c r="J127" s="3">
        <v>1040.93</v>
      </c>
      <c r="K127" s="3"/>
      <c r="L127" s="3" t="s">
        <v>28</v>
      </c>
      <c r="M127" s="3"/>
      <c r="N127" s="3" t="b">
        <f>FALSE()</f>
        <v>0</v>
      </c>
      <c r="O127" s="3">
        <v>0</v>
      </c>
      <c r="P127" s="3">
        <v>0</v>
      </c>
      <c r="Q127" s="3" t="b">
        <f>FALSE()</f>
        <v>0</v>
      </c>
      <c r="R127" s="3" t="b">
        <f>FALSE()</f>
        <v>0</v>
      </c>
      <c r="S127" s="3"/>
      <c r="T127" s="3"/>
    </row>
    <row r="128" spans="1:20" ht="15" customHeight="1" x14ac:dyDescent="0.25">
      <c r="A128" s="2" t="s">
        <v>335</v>
      </c>
      <c r="B128" s="2" t="s">
        <v>93</v>
      </c>
      <c r="C128" s="2" t="s">
        <v>94</v>
      </c>
      <c r="D128" s="2" t="s">
        <v>301</v>
      </c>
      <c r="E128" s="2" t="s">
        <v>290</v>
      </c>
      <c r="F128" s="2" t="s">
        <v>336</v>
      </c>
      <c r="G128" s="2"/>
      <c r="H128" s="2" t="s">
        <v>307</v>
      </c>
      <c r="I128" s="2">
        <v>838.69</v>
      </c>
      <c r="J128" s="2">
        <v>838.69</v>
      </c>
      <c r="K128" s="2"/>
      <c r="L128" s="2" t="s">
        <v>28</v>
      </c>
      <c r="M128" s="2"/>
      <c r="N128" s="2" t="b">
        <f>FALSE()</f>
        <v>0</v>
      </c>
      <c r="O128" s="2">
        <v>0</v>
      </c>
      <c r="P128" s="2">
        <v>0</v>
      </c>
      <c r="Q128" s="2" t="b">
        <f>FALSE()</f>
        <v>0</v>
      </c>
      <c r="R128" s="2" t="b">
        <f>FALSE()</f>
        <v>0</v>
      </c>
      <c r="S128" s="2"/>
      <c r="T128" s="2"/>
    </row>
    <row r="129" spans="1:20" ht="15" customHeight="1" x14ac:dyDescent="0.25">
      <c r="A129" s="3" t="s">
        <v>337</v>
      </c>
      <c r="B129" s="3" t="s">
        <v>21</v>
      </c>
      <c r="C129" s="3" t="s">
        <v>22</v>
      </c>
      <c r="D129" s="3" t="s">
        <v>301</v>
      </c>
      <c r="E129" s="3" t="s">
        <v>299</v>
      </c>
      <c r="F129" s="3" t="s">
        <v>338</v>
      </c>
      <c r="G129" s="3"/>
      <c r="H129" s="3" t="s">
        <v>307</v>
      </c>
      <c r="I129" s="3">
        <v>344.11</v>
      </c>
      <c r="J129" s="3">
        <v>344.11</v>
      </c>
      <c r="K129" s="3"/>
      <c r="L129" s="3" t="s">
        <v>28</v>
      </c>
      <c r="M129" s="3"/>
      <c r="N129" s="3" t="b">
        <f>FALSE()</f>
        <v>0</v>
      </c>
      <c r="O129" s="3">
        <v>0</v>
      </c>
      <c r="P129" s="3">
        <v>0</v>
      </c>
      <c r="Q129" s="3" t="b">
        <f>FALSE()</f>
        <v>0</v>
      </c>
      <c r="R129" s="3" t="b">
        <f>FALSE()</f>
        <v>0</v>
      </c>
      <c r="S129" s="3"/>
      <c r="T129" s="3"/>
    </row>
    <row r="130" spans="1:20" ht="15" customHeight="1" x14ac:dyDescent="0.25">
      <c r="A130" s="2" t="s">
        <v>339</v>
      </c>
      <c r="B130" s="2" t="s">
        <v>75</v>
      </c>
      <c r="C130" s="2" t="s">
        <v>22</v>
      </c>
      <c r="D130" s="2" t="s">
        <v>301</v>
      </c>
      <c r="E130" s="2" t="s">
        <v>299</v>
      </c>
      <c r="F130" s="2" t="s">
        <v>338</v>
      </c>
      <c r="G130" s="2"/>
      <c r="H130" s="2" t="s">
        <v>307</v>
      </c>
      <c r="I130" s="2">
        <v>2237.15</v>
      </c>
      <c r="J130" s="2">
        <v>2237.15</v>
      </c>
      <c r="K130" s="2"/>
      <c r="L130" s="2" t="s">
        <v>28</v>
      </c>
      <c r="M130" s="2"/>
      <c r="N130" s="2" t="b">
        <f>FALSE()</f>
        <v>0</v>
      </c>
      <c r="O130" s="2">
        <v>0</v>
      </c>
      <c r="P130" s="2">
        <v>0</v>
      </c>
      <c r="Q130" s="2" t="b">
        <f>FALSE()</f>
        <v>0</v>
      </c>
      <c r="R130" s="2" t="b">
        <f>FALSE()</f>
        <v>0</v>
      </c>
      <c r="S130" s="2"/>
      <c r="T130" s="2"/>
    </row>
    <row r="131" spans="1:20" ht="15" customHeight="1" x14ac:dyDescent="0.25">
      <c r="A131" s="3" t="s">
        <v>340</v>
      </c>
      <c r="B131" s="3" t="s">
        <v>46</v>
      </c>
      <c r="C131" s="3" t="s">
        <v>32</v>
      </c>
      <c r="D131" s="3" t="s">
        <v>301</v>
      </c>
      <c r="E131" s="3" t="s">
        <v>299</v>
      </c>
      <c r="F131" s="3" t="s">
        <v>338</v>
      </c>
      <c r="G131" s="3"/>
      <c r="H131" s="3" t="s">
        <v>307</v>
      </c>
      <c r="I131" s="4">
        <v>2082.37</v>
      </c>
      <c r="J131" s="4">
        <v>2082.37</v>
      </c>
      <c r="K131" s="3"/>
      <c r="L131" s="3" t="s">
        <v>28</v>
      </c>
      <c r="M131" s="3"/>
      <c r="N131" s="3" t="b">
        <f>FALSE()</f>
        <v>0</v>
      </c>
      <c r="O131" s="3">
        <v>0</v>
      </c>
      <c r="P131" s="3">
        <v>0</v>
      </c>
      <c r="Q131" s="3" t="b">
        <f>FALSE()</f>
        <v>0</v>
      </c>
      <c r="R131" s="3" t="b">
        <f>FALSE()</f>
        <v>0</v>
      </c>
      <c r="S131" s="3"/>
      <c r="T131" s="3"/>
    </row>
    <row r="132" spans="1:20" ht="15.75" customHeight="1" x14ac:dyDescent="0.25">
      <c r="I132" s="5">
        <f>SUBTOTAL(109,AP_Invoices[Invoice Amt USD])</f>
        <v>189120.92999999993</v>
      </c>
      <c r="J132" s="6">
        <f>SUBTOTAL(109,AP_Invoices[Outstanding USD])</f>
        <v>77420.62</v>
      </c>
    </row>
    <row r="133" spans="1:20" ht="15.75" customHeight="1" x14ac:dyDescent="0.25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9"/>
  <sheetViews>
    <sheetView zoomScaleNormal="100" workbookViewId="0">
      <selection activeCell="H59" sqref="H59"/>
    </sheetView>
  </sheetViews>
  <sheetFormatPr defaultColWidth="8.7109375" defaultRowHeight="15" x14ac:dyDescent="0.25"/>
  <cols>
    <col min="1" max="1" width="1.5703125" style="7" customWidth="1"/>
    <col min="2" max="11" width="10" style="7" customWidth="1"/>
    <col min="12" max="12" width="1.5703125" style="7" customWidth="1"/>
    <col min="13" max="22" width="10" style="7" customWidth="1"/>
    <col min="23" max="23" width="1.5703125" style="7" customWidth="1"/>
    <col min="24" max="16384" width="8.7109375" style="7"/>
  </cols>
  <sheetData>
    <row r="1" spans="1:22" ht="7.5" customHeight="1" x14ac:dyDescent="0.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42" customHeight="1" x14ac:dyDescent="0.5">
      <c r="A2" s="8"/>
      <c r="B2" s="118" t="s">
        <v>341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</row>
    <row r="3" spans="1:22" ht="31.5" customHeight="1" x14ac:dyDescent="0.5">
      <c r="A3" s="8"/>
      <c r="B3" s="119" t="s">
        <v>342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</row>
    <row r="4" spans="1:22" ht="7.5" customHeight="1" x14ac:dyDescent="0.25"/>
    <row r="5" spans="1:22" ht="13.5" customHeight="1" x14ac:dyDescent="0.25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</row>
    <row r="6" spans="1:22" ht="9.75" customHeight="1" x14ac:dyDescent="0.25"/>
    <row r="7" spans="1:22" ht="15.75" customHeight="1" x14ac:dyDescent="0.25">
      <c r="B7" s="121" t="s">
        <v>343</v>
      </c>
      <c r="C7" s="121"/>
      <c r="D7" s="121"/>
      <c r="E7" s="121"/>
      <c r="G7" s="121" t="s">
        <v>344</v>
      </c>
      <c r="H7" s="121"/>
      <c r="I7" s="121"/>
      <c r="J7" s="121"/>
      <c r="M7" s="121" t="s">
        <v>345</v>
      </c>
      <c r="N7" s="121"/>
      <c r="O7" s="121"/>
      <c r="P7" s="121"/>
      <c r="R7" s="121" t="s">
        <v>346</v>
      </c>
      <c r="S7" s="121"/>
      <c r="T7" s="121"/>
      <c r="U7" s="121"/>
    </row>
    <row r="8" spans="1:22" ht="43.5" customHeight="1" x14ac:dyDescent="0.25">
      <c r="B8" s="122">
        <f>'Summary Tables'!D5</f>
        <v>77420.62</v>
      </c>
      <c r="C8" s="122"/>
      <c r="D8" s="122"/>
      <c r="E8" s="122"/>
      <c r="G8" s="123">
        <f>'Summary Tables'!D7</f>
        <v>0.83098591549295775</v>
      </c>
      <c r="H8" s="123"/>
      <c r="I8" s="123"/>
      <c r="J8" s="123"/>
      <c r="M8" s="123">
        <f>'Summary Tables'!D8</f>
        <v>3.3716126321686163E-2</v>
      </c>
      <c r="N8" s="123"/>
      <c r="O8" s="123"/>
      <c r="P8" s="123"/>
      <c r="R8" s="124">
        <f>'Summary Tables'!D9</f>
        <v>14</v>
      </c>
      <c r="S8" s="124"/>
      <c r="T8" s="124"/>
      <c r="U8" s="124"/>
    </row>
    <row r="9" spans="1:22" ht="19.5" customHeight="1" x14ac:dyDescent="0.25">
      <c r="B9" s="125" t="str">
        <f>TEXT('Summary Tables'!D6,"0")&amp;" invoices open"</f>
        <v>61 invoices open</v>
      </c>
      <c r="C9" s="125"/>
      <c r="D9" s="125"/>
      <c r="E9" s="125"/>
      <c r="G9" s="125" t="s">
        <v>347</v>
      </c>
      <c r="H9" s="125"/>
      <c r="I9" s="125"/>
      <c r="J9" s="125"/>
      <c r="M9" s="125" t="str">
        <f>"$"&amp;TEXT('Summary Tables'!D10,"#,##0")&amp;" in missed savings"</f>
        <v>$552 in missed savings</v>
      </c>
      <c r="N9" s="125"/>
      <c r="O9" s="125"/>
      <c r="P9" s="125"/>
      <c r="R9" s="125" t="s">
        <v>348</v>
      </c>
      <c r="S9" s="125"/>
      <c r="T9" s="125"/>
      <c r="U9" s="125"/>
    </row>
    <row r="10" spans="1:22" ht="12" customHeight="1" x14ac:dyDescent="0.25"/>
    <row r="11" spans="1:22" ht="13.5" customHeight="1" x14ac:dyDescent="0.25"/>
    <row r="12" spans="1:22" ht="13.5" customHeight="1" x14ac:dyDescent="0.25"/>
    <row r="13" spans="1:22" ht="13.5" customHeight="1" x14ac:dyDescent="0.25"/>
    <row r="14" spans="1:22" ht="13.5" customHeight="1" x14ac:dyDescent="0.25"/>
    <row r="15" spans="1:22" ht="13.5" customHeight="1" x14ac:dyDescent="0.25"/>
    <row r="16" spans="1:22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2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9.75" customHeight="1" x14ac:dyDescent="0.25"/>
  </sheetData>
  <mergeCells count="15">
    <mergeCell ref="B8:E8"/>
    <mergeCell ref="G8:J8"/>
    <mergeCell ref="M8:P8"/>
    <mergeCell ref="R8:U8"/>
    <mergeCell ref="B9:E9"/>
    <mergeCell ref="G9:J9"/>
    <mergeCell ref="M9:P9"/>
    <mergeCell ref="R9:U9"/>
    <mergeCell ref="B2:V2"/>
    <mergeCell ref="B3:V3"/>
    <mergeCell ref="B5:V5"/>
    <mergeCell ref="B7:E7"/>
    <mergeCell ref="G7:J7"/>
    <mergeCell ref="M7:P7"/>
    <mergeCell ref="R7:U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26" sqref="M26"/>
    </sheetView>
  </sheetViews>
  <sheetFormatPr defaultColWidth="8.7109375" defaultRowHeight="15" x14ac:dyDescent="0.25"/>
  <cols>
    <col min="1" max="1" width="1.5703125" customWidth="1"/>
    <col min="2" max="2" width="22" customWidth="1"/>
    <col min="3" max="3" width="16" customWidth="1"/>
    <col min="4" max="7" width="14" customWidth="1"/>
    <col min="8" max="8" width="60" customWidth="1"/>
  </cols>
  <sheetData>
    <row r="1" spans="1:8" ht="15" customHeight="1" x14ac:dyDescent="0.25">
      <c r="A1" s="9"/>
      <c r="B1" s="126" t="s">
        <v>349</v>
      </c>
      <c r="C1" s="126"/>
      <c r="D1" s="126"/>
      <c r="E1" s="126"/>
      <c r="F1" s="126"/>
      <c r="G1" s="126"/>
      <c r="H1" s="126"/>
    </row>
    <row r="2" spans="1:8" ht="15" customHeight="1" x14ac:dyDescent="0.25">
      <c r="A2" s="9"/>
      <c r="B2" s="126"/>
      <c r="C2" s="126"/>
      <c r="D2" s="126"/>
      <c r="E2" s="126"/>
      <c r="F2" s="126"/>
      <c r="G2" s="126"/>
      <c r="H2" s="126"/>
    </row>
    <row r="3" spans="1:8" ht="21" customHeight="1" x14ac:dyDescent="0.25">
      <c r="B3" s="127" t="s">
        <v>350</v>
      </c>
      <c r="C3" s="127"/>
      <c r="D3" s="127"/>
      <c r="E3" s="127"/>
      <c r="F3" s="127"/>
      <c r="G3" s="127"/>
      <c r="H3" s="127"/>
    </row>
    <row r="4" spans="1:8" ht="22.5" customHeight="1" x14ac:dyDescent="0.25">
      <c r="B4" s="128" t="s">
        <v>351</v>
      </c>
      <c r="C4" s="128"/>
      <c r="D4" s="128"/>
      <c r="E4" s="128"/>
      <c r="F4" s="128"/>
      <c r="G4" s="128"/>
    </row>
    <row r="5" spans="1:8" ht="15" customHeight="1" x14ac:dyDescent="0.25">
      <c r="B5" s="10" t="s">
        <v>352</v>
      </c>
      <c r="C5" s="10" t="s">
        <v>353</v>
      </c>
      <c r="D5" s="10" t="s">
        <v>22</v>
      </c>
      <c r="E5" s="10" t="s">
        <v>32</v>
      </c>
      <c r="F5" s="10" t="s">
        <v>68</v>
      </c>
      <c r="G5" s="10" t="s">
        <v>94</v>
      </c>
      <c r="H5" s="10" t="s">
        <v>354</v>
      </c>
    </row>
    <row r="6" spans="1:8" ht="90" customHeight="1" x14ac:dyDescent="0.25">
      <c r="B6" s="11" t="s">
        <v>355</v>
      </c>
      <c r="C6" s="12">
        <f>'Summary Tables'!C58</f>
        <v>7</v>
      </c>
      <c r="D6" s="13">
        <f>'Summary Tables'!D58</f>
        <v>2</v>
      </c>
      <c r="E6" s="13">
        <f>'Summary Tables'!E58</f>
        <v>4</v>
      </c>
      <c r="F6" s="13">
        <f>'Summary Tables'!F58</f>
        <v>1</v>
      </c>
      <c r="G6" s="14">
        <f>'Summary Tables'!G58</f>
        <v>0</v>
      </c>
      <c r="H6" s="15" t="s">
        <v>356</v>
      </c>
    </row>
    <row r="7" spans="1:8" ht="75" customHeight="1" x14ac:dyDescent="0.25">
      <c r="B7" s="16" t="s">
        <v>357</v>
      </c>
      <c r="C7" s="17">
        <f>'Summary Tables'!C59</f>
        <v>4</v>
      </c>
      <c r="D7" s="18">
        <f>'Summary Tables'!D59</f>
        <v>2</v>
      </c>
      <c r="E7" s="18">
        <f>'Summary Tables'!E59</f>
        <v>2</v>
      </c>
      <c r="F7" s="18">
        <f>'Summary Tables'!F59</f>
        <v>0</v>
      </c>
      <c r="G7" s="19">
        <f>'Summary Tables'!G59</f>
        <v>0</v>
      </c>
      <c r="H7" s="20" t="s">
        <v>358</v>
      </c>
    </row>
    <row r="8" spans="1:8" ht="90" customHeight="1" x14ac:dyDescent="0.25">
      <c r="B8" s="21" t="s">
        <v>108</v>
      </c>
      <c r="C8" s="22">
        <f>'Summary Tables'!C60</f>
        <v>3</v>
      </c>
      <c r="D8" s="23">
        <f>'Summary Tables'!D60</f>
        <v>0</v>
      </c>
      <c r="E8" s="23">
        <f>'Summary Tables'!E60</f>
        <v>2</v>
      </c>
      <c r="F8" s="23">
        <f>'Summary Tables'!F60</f>
        <v>1</v>
      </c>
      <c r="G8" s="24">
        <f>'Summary Tables'!G60</f>
        <v>0</v>
      </c>
      <c r="H8" s="25" t="s">
        <v>359</v>
      </c>
    </row>
    <row r="9" spans="1:8" ht="15" customHeight="1" x14ac:dyDescent="0.25">
      <c r="B9" s="26" t="s">
        <v>360</v>
      </c>
      <c r="C9" s="27">
        <f>'Summary Tables'!D9</f>
        <v>14</v>
      </c>
      <c r="D9" s="28"/>
      <c r="E9" s="28"/>
      <c r="F9" s="28"/>
      <c r="G9" s="28"/>
    </row>
    <row r="11" spans="1:8" ht="15" customHeight="1" x14ac:dyDescent="0.25">
      <c r="B11" s="128" t="s">
        <v>361</v>
      </c>
      <c r="C11" s="128"/>
      <c r="D11" s="128"/>
      <c r="E11" s="128"/>
      <c r="F11" s="128"/>
    </row>
    <row r="12" spans="1:8" ht="15" customHeight="1" x14ac:dyDescent="0.25">
      <c r="B12" s="10" t="s">
        <v>1</v>
      </c>
      <c r="C12" s="10" t="s">
        <v>355</v>
      </c>
      <c r="D12" s="10" t="s">
        <v>357</v>
      </c>
      <c r="E12" s="10" t="s">
        <v>108</v>
      </c>
      <c r="F12" s="10" t="s">
        <v>353</v>
      </c>
    </row>
    <row r="13" spans="1:8" ht="15" customHeight="1" x14ac:dyDescent="0.25">
      <c r="B13" s="29" t="s">
        <v>86</v>
      </c>
      <c r="C13" s="30">
        <f>COUNTIFS(AP_Invoices[Vendor],B13,AP_Invoices[Blocked 30d],TRUE())</f>
        <v>0</v>
      </c>
      <c r="D13" s="31">
        <f>COUNTIFS(AP_Invoices[Vendor],B13,AP_Invoices[In Review 15d],TRUE())</f>
        <v>0</v>
      </c>
      <c r="E13" s="32">
        <f>COUNTIFS(AP_Invoices[Vendor],B13,AP_Invoices[Status],"Voided")</f>
        <v>0</v>
      </c>
      <c r="F13" s="33">
        <f t="shared" ref="F13:F27" si="0">SUM(C13:E13)</f>
        <v>0</v>
      </c>
    </row>
    <row r="14" spans="1:8" ht="15" customHeight="1" x14ac:dyDescent="0.25">
      <c r="B14" s="34" t="s">
        <v>35</v>
      </c>
      <c r="C14" s="35">
        <f>COUNTIFS(AP_Invoices[Vendor],B14,AP_Invoices[Blocked 30d],TRUE())</f>
        <v>1</v>
      </c>
      <c r="D14" s="36">
        <f>COUNTIFS(AP_Invoices[Vendor],B14,AP_Invoices[In Review 15d],TRUE())</f>
        <v>0</v>
      </c>
      <c r="E14" s="37">
        <f>COUNTIFS(AP_Invoices[Vendor],B14,AP_Invoices[Status],"Voided")</f>
        <v>0</v>
      </c>
      <c r="F14" s="38">
        <f t="shared" si="0"/>
        <v>1</v>
      </c>
    </row>
    <row r="15" spans="1:8" ht="15" customHeight="1" x14ac:dyDescent="0.25">
      <c r="B15" s="29" t="s">
        <v>50</v>
      </c>
      <c r="C15" s="30">
        <f>COUNTIFS(AP_Invoices[Vendor],B15,AP_Invoices[Blocked 30d],TRUE())</f>
        <v>0</v>
      </c>
      <c r="D15" s="31">
        <f>COUNTIFS(AP_Invoices[Vendor],B15,AP_Invoices[In Review 15d],TRUE())</f>
        <v>1</v>
      </c>
      <c r="E15" s="32">
        <f>COUNTIFS(AP_Invoices[Vendor],B15,AP_Invoices[Status],"Voided")</f>
        <v>0</v>
      </c>
      <c r="F15" s="33">
        <f t="shared" si="0"/>
        <v>1</v>
      </c>
    </row>
    <row r="16" spans="1:8" ht="15" customHeight="1" x14ac:dyDescent="0.25">
      <c r="B16" s="34" t="s">
        <v>75</v>
      </c>
      <c r="C16" s="35">
        <f>COUNTIFS(AP_Invoices[Vendor],B16,AP_Invoices[Blocked 30d],TRUE())</f>
        <v>0</v>
      </c>
      <c r="D16" s="36">
        <f>COUNTIFS(AP_Invoices[Vendor],B16,AP_Invoices[In Review 15d],TRUE())</f>
        <v>0</v>
      </c>
      <c r="E16" s="37">
        <f>COUNTIFS(AP_Invoices[Vendor],B16,AP_Invoices[Status],"Voided")</f>
        <v>0</v>
      </c>
      <c r="F16" s="38">
        <f t="shared" si="0"/>
        <v>0</v>
      </c>
    </row>
    <row r="17" spans="2:6" ht="15" customHeight="1" x14ac:dyDescent="0.25">
      <c r="B17" s="29" t="s">
        <v>54</v>
      </c>
      <c r="C17" s="30">
        <f>COUNTIFS(AP_Invoices[Vendor],B17,AP_Invoices[Blocked 30d],TRUE())</f>
        <v>2</v>
      </c>
      <c r="D17" s="31">
        <f>COUNTIFS(AP_Invoices[Vendor],B17,AP_Invoices[In Review 15d],TRUE())</f>
        <v>0</v>
      </c>
      <c r="E17" s="32">
        <f>COUNTIFS(AP_Invoices[Vendor],B17,AP_Invoices[Status],"Voided")</f>
        <v>0</v>
      </c>
      <c r="F17" s="33">
        <f t="shared" si="0"/>
        <v>2</v>
      </c>
    </row>
    <row r="18" spans="2:6" ht="15" customHeight="1" x14ac:dyDescent="0.25">
      <c r="B18" s="34" t="s">
        <v>46</v>
      </c>
      <c r="C18" s="35">
        <f>COUNTIFS(AP_Invoices[Vendor],B18,AP_Invoices[Blocked 30d],TRUE())</f>
        <v>0</v>
      </c>
      <c r="D18" s="36">
        <f>COUNTIFS(AP_Invoices[Vendor],B18,AP_Invoices[In Review 15d],TRUE())</f>
        <v>0</v>
      </c>
      <c r="E18" s="37">
        <f>COUNTIFS(AP_Invoices[Vendor],B18,AP_Invoices[Status],"Voided")</f>
        <v>0</v>
      </c>
      <c r="F18" s="38">
        <f t="shared" si="0"/>
        <v>0</v>
      </c>
    </row>
    <row r="19" spans="2:6" ht="15" customHeight="1" x14ac:dyDescent="0.25">
      <c r="B19" s="29" t="s">
        <v>89</v>
      </c>
      <c r="C19" s="30">
        <f>COUNTIFS(AP_Invoices[Vendor],B19,AP_Invoices[Blocked 30d],TRUE())</f>
        <v>0</v>
      </c>
      <c r="D19" s="31">
        <f>COUNTIFS(AP_Invoices[Vendor],B19,AP_Invoices[In Review 15d],TRUE())</f>
        <v>1</v>
      </c>
      <c r="E19" s="32">
        <f>COUNTIFS(AP_Invoices[Vendor],B19,AP_Invoices[Status],"Voided")</f>
        <v>0</v>
      </c>
      <c r="F19" s="33">
        <f t="shared" si="0"/>
        <v>1</v>
      </c>
    </row>
    <row r="20" spans="2:6" ht="15" customHeight="1" x14ac:dyDescent="0.25">
      <c r="B20" s="34" t="s">
        <v>31</v>
      </c>
      <c r="C20" s="35">
        <f>COUNTIFS(AP_Invoices[Vendor],B20,AP_Invoices[Blocked 30d],TRUE())</f>
        <v>0</v>
      </c>
      <c r="D20" s="36">
        <f>COUNTIFS(AP_Invoices[Vendor],B20,AP_Invoices[In Review 15d],TRUE())</f>
        <v>0</v>
      </c>
      <c r="E20" s="37">
        <f>COUNTIFS(AP_Invoices[Vendor],B20,AP_Invoices[Status],"Voided")</f>
        <v>0</v>
      </c>
      <c r="F20" s="38">
        <f t="shared" si="0"/>
        <v>0</v>
      </c>
    </row>
    <row r="21" spans="2:6" ht="15" customHeight="1" x14ac:dyDescent="0.25">
      <c r="B21" s="29" t="s">
        <v>83</v>
      </c>
      <c r="C21" s="30">
        <f>COUNTIFS(AP_Invoices[Vendor],B21,AP_Invoices[Blocked 30d],TRUE())</f>
        <v>1</v>
      </c>
      <c r="D21" s="31">
        <f>COUNTIFS(AP_Invoices[Vendor],B21,AP_Invoices[In Review 15d],TRUE())</f>
        <v>0</v>
      </c>
      <c r="E21" s="32">
        <f>COUNTIFS(AP_Invoices[Vendor],B21,AP_Invoices[Status],"Voided")</f>
        <v>0</v>
      </c>
      <c r="F21" s="33">
        <f t="shared" si="0"/>
        <v>1</v>
      </c>
    </row>
    <row r="22" spans="2:6" ht="15" customHeight="1" x14ac:dyDescent="0.25">
      <c r="B22" s="34" t="s">
        <v>67</v>
      </c>
      <c r="C22" s="35">
        <f>COUNTIFS(AP_Invoices[Vendor],B22,AP_Invoices[Blocked 30d],TRUE())</f>
        <v>1</v>
      </c>
      <c r="D22" s="36">
        <f>COUNTIFS(AP_Invoices[Vendor],B22,AP_Invoices[In Review 15d],TRUE())</f>
        <v>0</v>
      </c>
      <c r="E22" s="37">
        <f>COUNTIFS(AP_Invoices[Vendor],B22,AP_Invoices[Status],"Voided")</f>
        <v>1</v>
      </c>
      <c r="F22" s="38">
        <f t="shared" si="0"/>
        <v>2</v>
      </c>
    </row>
    <row r="23" spans="2:6" ht="15" customHeight="1" x14ac:dyDescent="0.25">
      <c r="B23" s="29" t="s">
        <v>96</v>
      </c>
      <c r="C23" s="30">
        <f>COUNTIFS(AP_Invoices[Vendor],B23,AP_Invoices[Blocked 30d],TRUE())</f>
        <v>0</v>
      </c>
      <c r="D23" s="31">
        <f>COUNTIFS(AP_Invoices[Vendor],B23,AP_Invoices[In Review 15d],TRUE())</f>
        <v>1</v>
      </c>
      <c r="E23" s="32">
        <f>COUNTIFS(AP_Invoices[Vendor],B23,AP_Invoices[Status],"Voided")</f>
        <v>1</v>
      </c>
      <c r="F23" s="33">
        <f t="shared" si="0"/>
        <v>2</v>
      </c>
    </row>
    <row r="24" spans="2:6" ht="15" customHeight="1" x14ac:dyDescent="0.25">
      <c r="B24" s="34" t="s">
        <v>21</v>
      </c>
      <c r="C24" s="35">
        <f>COUNTIFS(AP_Invoices[Vendor],B24,AP_Invoices[Blocked 30d],TRUE())</f>
        <v>0</v>
      </c>
      <c r="D24" s="36">
        <f>COUNTIFS(AP_Invoices[Vendor],B24,AP_Invoices[In Review 15d],TRUE())</f>
        <v>0</v>
      </c>
      <c r="E24" s="37">
        <f>COUNTIFS(AP_Invoices[Vendor],B24,AP_Invoices[Status],"Voided")</f>
        <v>0</v>
      </c>
      <c r="F24" s="38">
        <f t="shared" si="0"/>
        <v>0</v>
      </c>
    </row>
    <row r="25" spans="2:6" ht="15" customHeight="1" x14ac:dyDescent="0.25">
      <c r="B25" s="29" t="s">
        <v>93</v>
      </c>
      <c r="C25" s="30">
        <f>COUNTIFS(AP_Invoices[Vendor],B25,AP_Invoices[Blocked 30d],TRUE())</f>
        <v>0</v>
      </c>
      <c r="D25" s="31">
        <f>COUNTIFS(AP_Invoices[Vendor],B25,AP_Invoices[In Review 15d],TRUE())</f>
        <v>0</v>
      </c>
      <c r="E25" s="32">
        <f>COUNTIFS(AP_Invoices[Vendor],B25,AP_Invoices[Status],"Voided")</f>
        <v>0</v>
      </c>
      <c r="F25" s="33">
        <f t="shared" si="0"/>
        <v>0</v>
      </c>
    </row>
    <row r="26" spans="2:6" ht="15" customHeight="1" x14ac:dyDescent="0.25">
      <c r="B26" s="34" t="s">
        <v>61</v>
      </c>
      <c r="C26" s="35">
        <f>COUNTIFS(AP_Invoices[Vendor],B26,AP_Invoices[Blocked 30d],TRUE())</f>
        <v>1</v>
      </c>
      <c r="D26" s="36">
        <f>COUNTIFS(AP_Invoices[Vendor],B26,AP_Invoices[In Review 15d],TRUE())</f>
        <v>1</v>
      </c>
      <c r="E26" s="37">
        <f>COUNTIFS(AP_Invoices[Vendor],B26,AP_Invoices[Status],"Voided")</f>
        <v>0</v>
      </c>
      <c r="F26" s="38">
        <f t="shared" si="0"/>
        <v>2</v>
      </c>
    </row>
    <row r="27" spans="2:6" ht="15" customHeight="1" x14ac:dyDescent="0.25">
      <c r="B27" s="29" t="s">
        <v>79</v>
      </c>
      <c r="C27" s="30">
        <f>COUNTIFS(AP_Invoices[Vendor],B27,AP_Invoices[Blocked 30d],TRUE())</f>
        <v>1</v>
      </c>
      <c r="D27" s="31">
        <f>COUNTIFS(AP_Invoices[Vendor],B27,AP_Invoices[In Review 15d],TRUE())</f>
        <v>0</v>
      </c>
      <c r="E27" s="32">
        <f>COUNTIFS(AP_Invoices[Vendor],B27,AP_Invoices[Status],"Voided")</f>
        <v>1</v>
      </c>
      <c r="F27" s="33">
        <f t="shared" si="0"/>
        <v>2</v>
      </c>
    </row>
  </sheetData>
  <mergeCells count="4">
    <mergeCell ref="B1:H2"/>
    <mergeCell ref="B3:H3"/>
    <mergeCell ref="B4:G4"/>
    <mergeCell ref="B11:F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zoomScaleNormal="100" workbookViewId="0">
      <pane xSplit="1" ySplit="3" topLeftCell="B59" activePane="bottomRight" state="frozen"/>
      <selection pane="topRight" activeCell="B1" sqref="B1"/>
      <selection pane="bottomLeft" activeCell="A41" sqref="A41"/>
      <selection pane="bottomRight" activeCell="F40" sqref="F40"/>
    </sheetView>
  </sheetViews>
  <sheetFormatPr defaultColWidth="8.7109375" defaultRowHeight="18.75" x14ac:dyDescent="0.3"/>
  <cols>
    <col min="1" max="1" width="2" style="39" customWidth="1"/>
    <col min="2" max="2" width="32" style="39" customWidth="1"/>
    <col min="3" max="3" width="52" style="39" customWidth="1"/>
    <col min="4" max="5" width="18" style="39" customWidth="1"/>
    <col min="6" max="6" width="34.85546875" style="39" customWidth="1"/>
    <col min="7" max="7" width="14" style="39" customWidth="1"/>
    <col min="8" max="16384" width="8.7109375" style="39"/>
  </cols>
  <sheetData>
    <row r="1" spans="1:6" ht="24.75" customHeight="1" x14ac:dyDescent="0.3">
      <c r="A1" s="40"/>
      <c r="B1" s="130" t="s">
        <v>362</v>
      </c>
      <c r="C1" s="130"/>
      <c r="D1" s="130"/>
      <c r="E1" s="130"/>
      <c r="F1" s="130"/>
    </row>
    <row r="3" spans="1:6" ht="35.25" customHeight="1" x14ac:dyDescent="0.3">
      <c r="B3" s="129" t="s">
        <v>363</v>
      </c>
      <c r="C3" s="129"/>
      <c r="D3" s="129"/>
      <c r="E3" s="129"/>
      <c r="F3" s="129"/>
    </row>
    <row r="4" spans="1:6" ht="18.75" customHeight="1" x14ac:dyDescent="0.3">
      <c r="B4" s="41" t="s">
        <v>364</v>
      </c>
      <c r="C4" s="41" t="s">
        <v>365</v>
      </c>
      <c r="D4" s="41" t="s">
        <v>366</v>
      </c>
    </row>
    <row r="5" spans="1:6" ht="18.75" customHeight="1" x14ac:dyDescent="0.3">
      <c r="B5" s="42" t="s">
        <v>367</v>
      </c>
      <c r="C5" s="43">
        <f>SUM(AP_Invoices[Outstanding USD])</f>
        <v>77420.62</v>
      </c>
      <c r="D5" s="44">
        <f>SUM(AP_Invoices[Outstanding USD])</f>
        <v>77420.62</v>
      </c>
      <c r="E5" s="45" t="s">
        <v>368</v>
      </c>
    </row>
    <row r="6" spans="1:6" ht="18.75" customHeight="1" x14ac:dyDescent="0.3">
      <c r="B6" s="46" t="s">
        <v>369</v>
      </c>
      <c r="C6" s="47">
        <f>COUNTIF(AP_Invoices[Outstanding USD],"&gt;"&amp;0)</f>
        <v>61</v>
      </c>
      <c r="D6" s="48">
        <f>COUNTIF(AP_Invoices[Outstanding USD],"&gt;"&amp;0)</f>
        <v>61</v>
      </c>
      <c r="E6" s="49" t="s">
        <v>370</v>
      </c>
    </row>
    <row r="7" spans="1:6" ht="18.75" customHeight="1" x14ac:dyDescent="0.3">
      <c r="B7" s="42" t="s">
        <v>371</v>
      </c>
      <c r="C7" s="43">
        <f>(COUNTIFS(AP_Invoices[Late Payment],FALSE(),AP_Invoices[Status],"Paid")+COUNTIFS(AP_Invoices[Late Payment],FALSE(),AP_Invoices[Status],"Partially Paid"))/(COUNTIF(AP_Invoices[Status],"Paid")+COUNTIF(AP_Invoices[Status],"Partially Paid"))</f>
        <v>0.83098591549295775</v>
      </c>
      <c r="D7" s="50">
        <f>(COUNTIFS(AP_Invoices[Late Payment],FALSE(),AP_Invoices[Status],"Paid")+COUNTIFS(AP_Invoices[Late Payment],FALSE(),AP_Invoices[Status],"Partially Paid"))/(COUNTIF(AP_Invoices[Status],"Paid")+COUNTIF(AP_Invoices[Status],"Partially Paid"))</f>
        <v>0.83098591549295775</v>
      </c>
      <c r="E7" s="45" t="s">
        <v>372</v>
      </c>
    </row>
    <row r="8" spans="1:6" ht="18.75" customHeight="1" x14ac:dyDescent="0.3">
      <c r="B8" s="46" t="s">
        <v>373</v>
      </c>
      <c r="C8" s="47">
        <f>SUM(AP_Invoices[Disc Captured])/(SUM(AP_Invoices[Disc Captured])+SUM(AP_Invoices[Disc Missed]))</f>
        <v>3.3716126321686163E-2</v>
      </c>
      <c r="D8" s="51">
        <f>SUM(AP_Invoices[Disc Captured])/(SUM(AP_Invoices[Disc Captured])+SUM(AP_Invoices[Disc Missed]))</f>
        <v>3.3716126321686163E-2</v>
      </c>
      <c r="E8" s="49" t="s">
        <v>374</v>
      </c>
    </row>
    <row r="9" spans="1:6" ht="18.75" customHeight="1" x14ac:dyDescent="0.3">
      <c r="B9" s="42" t="s">
        <v>375</v>
      </c>
      <c r="C9" s="43">
        <f>COUNTIF(AP_Invoices[Blocked 30d],TRUE())+COUNTIF(AP_Invoices[Status],"Voided")+COUNTIF(AP_Invoices[In Review 15d],TRUE())</f>
        <v>14</v>
      </c>
      <c r="D9" s="52">
        <f>COUNTIF(AP_Invoices[Blocked 30d],TRUE())+COUNTIF(AP_Invoices[Status],"Voided")+COUNTIF(AP_Invoices[In Review 15d],TRUE())</f>
        <v>14</v>
      </c>
      <c r="E9" s="45" t="s">
        <v>376</v>
      </c>
    </row>
    <row r="10" spans="1:6" ht="18.75" customHeight="1" x14ac:dyDescent="0.3">
      <c r="B10" s="46" t="s">
        <v>377</v>
      </c>
      <c r="C10" s="47">
        <f>SUM(AP_Invoices[Disc Missed])</f>
        <v>551.9799999999999</v>
      </c>
      <c r="D10" s="53">
        <f>SUM(AP_Invoices[Disc Missed])</f>
        <v>551.9799999999999</v>
      </c>
      <c r="E10" s="49" t="s">
        <v>378</v>
      </c>
    </row>
    <row r="12" spans="1:6" ht="18.75" customHeight="1" x14ac:dyDescent="0.3">
      <c r="B12" s="129" t="s">
        <v>379</v>
      </c>
      <c r="C12" s="129"/>
      <c r="D12" s="129"/>
      <c r="E12" s="129"/>
      <c r="F12" s="129"/>
    </row>
    <row r="13" spans="1:6" ht="18.75" customHeight="1" x14ac:dyDescent="0.3">
      <c r="B13" s="41" t="s">
        <v>11</v>
      </c>
      <c r="C13" s="41" t="s">
        <v>9</v>
      </c>
    </row>
    <row r="14" spans="1:6" ht="18.75" customHeight="1" x14ac:dyDescent="0.3">
      <c r="B14" s="54" t="s">
        <v>28</v>
      </c>
      <c r="C14" s="55">
        <f>SUMIF(AP_Invoices[Aging Bucket],B14,AP_Invoices[Outstanding USD])</f>
        <v>22996.670000000002</v>
      </c>
    </row>
    <row r="15" spans="1:6" ht="18.75" customHeight="1" x14ac:dyDescent="0.3">
      <c r="B15" s="56" t="s">
        <v>260</v>
      </c>
      <c r="C15" s="57">
        <f>SUMIF(AP_Invoices[Aging Bucket],B15,AP_Invoices[Outstanding USD])</f>
        <v>8047.98</v>
      </c>
    </row>
    <row r="16" spans="1:6" ht="18.75" customHeight="1" x14ac:dyDescent="0.3">
      <c r="B16" s="54" t="s">
        <v>185</v>
      </c>
      <c r="C16" s="55">
        <f>SUMIF(AP_Invoices[Aging Bucket],B16,AP_Invoices[Outstanding USD])</f>
        <v>13989.009999999998</v>
      </c>
    </row>
    <row r="17" spans="2:6" ht="18.75" customHeight="1" x14ac:dyDescent="0.3">
      <c r="B17" s="56" t="s">
        <v>141</v>
      </c>
      <c r="C17" s="57">
        <f>SUMIF(AP_Invoices[Aging Bucket],B17,AP_Invoices[Outstanding USD])</f>
        <v>21000.230000000003</v>
      </c>
    </row>
    <row r="18" spans="2:6" ht="18.75" customHeight="1" x14ac:dyDescent="0.3">
      <c r="B18" s="54" t="s">
        <v>38</v>
      </c>
      <c r="C18" s="55">
        <f>SUMIF(AP_Invoices[Aging Bucket],B18,AP_Invoices[Outstanding USD])</f>
        <v>11386.73</v>
      </c>
    </row>
    <row r="20" spans="2:6" ht="18.75" customHeight="1" x14ac:dyDescent="0.3">
      <c r="B20" s="129" t="s">
        <v>380</v>
      </c>
      <c r="C20" s="129"/>
      <c r="D20" s="129"/>
      <c r="E20" s="129"/>
      <c r="F20" s="129"/>
    </row>
    <row r="21" spans="2:6" ht="18.75" customHeight="1" x14ac:dyDescent="0.3">
      <c r="B21" s="41" t="s">
        <v>3</v>
      </c>
      <c r="C21" s="41" t="s">
        <v>381</v>
      </c>
      <c r="D21" s="41" t="s">
        <v>382</v>
      </c>
    </row>
    <row r="22" spans="2:6" ht="18.75" customHeight="1" x14ac:dyDescent="0.3">
      <c r="B22" s="58" t="s">
        <v>23</v>
      </c>
      <c r="C22" s="59">
        <f>SUMIF(AP_Invoices[Month],B22,AP_Invoices[Disc Captured])</f>
        <v>19.260000000000002</v>
      </c>
      <c r="D22" s="60">
        <f>SUMIF(AP_Invoices[Month],B22,AP_Invoices[Disc Missed])</f>
        <v>130.26999999999998</v>
      </c>
    </row>
    <row r="23" spans="2:6" ht="18.75" customHeight="1" x14ac:dyDescent="0.3">
      <c r="B23" s="61" t="s">
        <v>103</v>
      </c>
      <c r="C23" s="62">
        <f>SUMIF(AP_Invoices[Month],B23,AP_Invoices[Disc Captured])</f>
        <v>0</v>
      </c>
      <c r="D23" s="63">
        <f>SUMIF(AP_Invoices[Month],B23,AP_Invoices[Disc Missed])</f>
        <v>82.49</v>
      </c>
    </row>
    <row r="24" spans="2:6" ht="18.75" customHeight="1" x14ac:dyDescent="0.3">
      <c r="B24" s="58" t="s">
        <v>160</v>
      </c>
      <c r="C24" s="59">
        <f>SUMIF(AP_Invoices[Month],B24,AP_Invoices[Disc Captured])</f>
        <v>0</v>
      </c>
      <c r="D24" s="60">
        <f>SUMIF(AP_Invoices[Month],B24,AP_Invoices[Disc Missed])</f>
        <v>85.69</v>
      </c>
    </row>
    <row r="25" spans="2:6" ht="18.75" customHeight="1" x14ac:dyDescent="0.3">
      <c r="B25" s="61" t="s">
        <v>201</v>
      </c>
      <c r="C25" s="62">
        <f>SUMIF(AP_Invoices[Month],B25,AP_Invoices[Disc Captured])</f>
        <v>0</v>
      </c>
      <c r="D25" s="63">
        <f>SUMIF(AP_Invoices[Month],B25,AP_Invoices[Disc Missed])</f>
        <v>80.819999999999993</v>
      </c>
    </row>
    <row r="26" spans="2:6" ht="18.75" customHeight="1" x14ac:dyDescent="0.3">
      <c r="B26" s="58" t="s">
        <v>253</v>
      </c>
      <c r="C26" s="59">
        <f>SUMIF(AP_Invoices[Month],B26,AP_Invoices[Disc Captured])</f>
        <v>0</v>
      </c>
      <c r="D26" s="60">
        <f>SUMIF(AP_Invoices[Month],B26,AP_Invoices[Disc Missed])</f>
        <v>115.21000000000001</v>
      </c>
    </row>
    <row r="27" spans="2:6" ht="18.75" customHeight="1" x14ac:dyDescent="0.3">
      <c r="B27" s="61" t="s">
        <v>301</v>
      </c>
      <c r="C27" s="62">
        <f>SUMIF(AP_Invoices[Month],B27,AP_Invoices[Disc Captured])</f>
        <v>0</v>
      </c>
      <c r="D27" s="63">
        <f>SUMIF(AP_Invoices[Month],B27,AP_Invoices[Disc Missed])</f>
        <v>57.5</v>
      </c>
    </row>
    <row r="29" spans="2:6" ht="18.75" customHeight="1" x14ac:dyDescent="0.3">
      <c r="B29" s="129" t="s">
        <v>383</v>
      </c>
      <c r="C29" s="129"/>
      <c r="D29" s="129"/>
      <c r="E29" s="129"/>
    </row>
    <row r="30" spans="2:6" ht="18.75" customHeight="1" x14ac:dyDescent="0.3">
      <c r="B30" s="64" t="s">
        <v>3</v>
      </c>
      <c r="C30" s="64" t="s">
        <v>384</v>
      </c>
      <c r="D30" s="64" t="s">
        <v>385</v>
      </c>
      <c r="E30" s="64" t="s">
        <v>386</v>
      </c>
    </row>
    <row r="31" spans="2:6" ht="18.75" customHeight="1" x14ac:dyDescent="0.3">
      <c r="B31" s="65" t="s">
        <v>23</v>
      </c>
      <c r="C31" s="66">
        <f>COUNTIFS(AP_Invoices[Month],B31,AP_Invoices[Late Payment],FALSE(),AP_Invoices[Status],"Paid")</f>
        <v>12</v>
      </c>
      <c r="D31" s="67">
        <f>COUNTIFS(AP_Invoices[Month],B31,AP_Invoices[Status],"Paid")</f>
        <v>14</v>
      </c>
      <c r="E31" s="68">
        <f t="shared" ref="E31:E36" si="0">IF(D31&gt;0,C31/D31,0)</f>
        <v>0.8571428571428571</v>
      </c>
    </row>
    <row r="32" spans="2:6" ht="18.75" customHeight="1" x14ac:dyDescent="0.3">
      <c r="B32" s="69" t="s">
        <v>103</v>
      </c>
      <c r="C32" s="70">
        <f>COUNTIFS(AP_Invoices[Month],B32,AP_Invoices[Late Payment],FALSE(),AP_Invoices[Status],"Paid")</f>
        <v>11</v>
      </c>
      <c r="D32" s="71">
        <f>COUNTIFS(AP_Invoices[Month],B32,AP_Invoices[Status],"Paid")</f>
        <v>12</v>
      </c>
      <c r="E32" s="72">
        <f t="shared" si="0"/>
        <v>0.91666666666666663</v>
      </c>
    </row>
    <row r="33" spans="2:7" ht="18.75" customHeight="1" x14ac:dyDescent="0.3">
      <c r="B33" s="65" t="s">
        <v>160</v>
      </c>
      <c r="C33" s="66">
        <f>COUNTIFS(AP_Invoices[Month],B33,AP_Invoices[Late Payment],FALSE(),AP_Invoices[Status],"Paid")</f>
        <v>6</v>
      </c>
      <c r="D33" s="67">
        <f>COUNTIFS(AP_Invoices[Month],B33,AP_Invoices[Status],"Paid")</f>
        <v>9</v>
      </c>
      <c r="E33" s="68">
        <f t="shared" si="0"/>
        <v>0.66666666666666663</v>
      </c>
    </row>
    <row r="34" spans="2:7" ht="18.75" customHeight="1" x14ac:dyDescent="0.3">
      <c r="B34" s="69" t="s">
        <v>201</v>
      </c>
      <c r="C34" s="70">
        <f>COUNTIFS(AP_Invoices[Month],B34,AP_Invoices[Late Payment],FALSE(),AP_Invoices[Status],"Paid")</f>
        <v>9</v>
      </c>
      <c r="D34" s="71">
        <f>COUNTIFS(AP_Invoices[Month],B34,AP_Invoices[Status],"Paid")</f>
        <v>12</v>
      </c>
      <c r="E34" s="72">
        <f t="shared" si="0"/>
        <v>0.75</v>
      </c>
    </row>
    <row r="35" spans="2:7" ht="18.75" customHeight="1" x14ac:dyDescent="0.3">
      <c r="B35" s="65" t="s">
        <v>253</v>
      </c>
      <c r="C35" s="66">
        <f>COUNTIFS(AP_Invoices[Month],B35,AP_Invoices[Late Payment],FALSE(),AP_Invoices[Status],"Paid")</f>
        <v>10</v>
      </c>
      <c r="D35" s="67">
        <f>COUNTIFS(AP_Invoices[Month],B35,AP_Invoices[Status],"Paid")</f>
        <v>13</v>
      </c>
      <c r="E35" s="68">
        <f t="shared" si="0"/>
        <v>0.76923076923076927</v>
      </c>
    </row>
    <row r="36" spans="2:7" ht="18.75" customHeight="1" x14ac:dyDescent="0.3">
      <c r="B36" s="69" t="s">
        <v>301</v>
      </c>
      <c r="C36" s="70">
        <f>COUNTIFS(AP_Invoices[Month],B36,AP_Invoices[Late Payment],FALSE(),AP_Invoices[Status],"Paid")</f>
        <v>6</v>
      </c>
      <c r="D36" s="71">
        <f>COUNTIFS(AP_Invoices[Month],B36,AP_Invoices[Status],"Paid")</f>
        <v>6</v>
      </c>
      <c r="E36" s="72">
        <f t="shared" si="0"/>
        <v>1</v>
      </c>
    </row>
    <row r="38" spans="2:7" ht="18.75" customHeight="1" x14ac:dyDescent="0.3">
      <c r="B38" s="129" t="s">
        <v>387</v>
      </c>
      <c r="C38" s="129"/>
      <c r="D38" s="129"/>
      <c r="E38" s="129"/>
      <c r="F38" s="129"/>
      <c r="G38" s="129"/>
    </row>
    <row r="39" spans="2:7" ht="47.25" customHeight="1" x14ac:dyDescent="0.3">
      <c r="B39" s="64" t="s">
        <v>1</v>
      </c>
      <c r="C39" s="64" t="s">
        <v>9</v>
      </c>
      <c r="D39" s="64" t="s">
        <v>388</v>
      </c>
      <c r="E39" s="64" t="s">
        <v>389</v>
      </c>
      <c r="F39" s="64" t="s">
        <v>390</v>
      </c>
      <c r="G39" s="64" t="s">
        <v>391</v>
      </c>
    </row>
    <row r="40" spans="2:7" ht="18.75" customHeight="1" x14ac:dyDescent="0.3">
      <c r="B40" s="73" t="s">
        <v>86</v>
      </c>
      <c r="C40" s="74">
        <f>SUMIF(AP_Invoices[Vendor],B40,AP_Invoices[Outstanding USD])</f>
        <v>13779.17</v>
      </c>
      <c r="D40" s="75">
        <f>COUNTIF(AP_Invoices[Vendor],B40)</f>
        <v>9</v>
      </c>
      <c r="E40" s="76">
        <f>COUNTIFS(AP_Invoices[Vendor],B40,AP_Invoices[Status],"Overdue")+COUNTIFS(AP_Invoices[Vendor],B40,AP_Invoices[Status],"Blocked")+COUNTIFS(AP_Invoices[Vendor],B40,AP_Invoices[Status],"In Review")+COUNTIFS(AP_Invoices[Vendor],B40,AP_Invoices[Status],"Partially Paid",AP_Invoices[Days Past Due],"&gt;"&amp;0)</f>
        <v>3</v>
      </c>
      <c r="F40" s="77">
        <f>SUMIF(AP_Invoices[Vendor],B40,AP_Invoices[Disc Missed])</f>
        <v>0</v>
      </c>
      <c r="G40" s="78">
        <f>COUNTIFS(AP_Invoices[Vendor],B40,AP_Invoices[Blocked 30d],TRUE())+COUNTIFS(AP_Invoices[Vendor],B40,AP_Invoices[Status],"Voided")+COUNTIFS(AP_Invoices[Vendor],B40,AP_Invoices[In Review 15d],TRUE())</f>
        <v>0</v>
      </c>
    </row>
    <row r="41" spans="2:7" ht="18.75" customHeight="1" x14ac:dyDescent="0.3">
      <c r="B41" s="79" t="s">
        <v>35</v>
      </c>
      <c r="C41" s="80">
        <f>SUMIF(AP_Invoices[Vendor],B41,AP_Invoices[Outstanding USD])</f>
        <v>11030.14</v>
      </c>
      <c r="D41" s="81">
        <f>COUNTIF(AP_Invoices[Vendor],B41)</f>
        <v>9</v>
      </c>
      <c r="E41" s="82">
        <f>COUNTIFS(AP_Invoices[Vendor],B41,AP_Invoices[Status],"Overdue")+COUNTIFS(AP_Invoices[Vendor],B41,AP_Invoices[Status],"Blocked")+COUNTIFS(AP_Invoices[Vendor],B41,AP_Invoices[Status],"In Review")+COUNTIFS(AP_Invoices[Vendor],B41,AP_Invoices[Status],"Partially Paid",AP_Invoices[Days Past Due],"&gt;"&amp;0)</f>
        <v>4</v>
      </c>
      <c r="F41" s="83">
        <f>SUMIF(AP_Invoices[Vendor],B41,AP_Invoices[Disc Missed])</f>
        <v>451.07999999999993</v>
      </c>
      <c r="G41" s="84">
        <f>COUNTIFS(AP_Invoices[Vendor],B41,AP_Invoices[Blocked 30d],TRUE())+COUNTIFS(AP_Invoices[Vendor],B41,AP_Invoices[Status],"Voided")+COUNTIFS(AP_Invoices[Vendor],B41,AP_Invoices[In Review 15d],TRUE())</f>
        <v>1</v>
      </c>
    </row>
    <row r="42" spans="2:7" ht="18.75" customHeight="1" x14ac:dyDescent="0.3">
      <c r="B42" s="73" t="s">
        <v>50</v>
      </c>
      <c r="C42" s="74">
        <f>SUMIF(AP_Invoices[Vendor],B42,AP_Invoices[Outstanding USD])</f>
        <v>8700.57</v>
      </c>
      <c r="D42" s="75">
        <f>COUNTIF(AP_Invoices[Vendor],B42)</f>
        <v>9</v>
      </c>
      <c r="E42" s="76">
        <f>COUNTIFS(AP_Invoices[Vendor],B42,AP_Invoices[Status],"Overdue")+COUNTIFS(AP_Invoices[Vendor],B42,AP_Invoices[Status],"Blocked")+COUNTIFS(AP_Invoices[Vendor],B42,AP_Invoices[Status],"In Review")+COUNTIFS(AP_Invoices[Vendor],B42,AP_Invoices[Status],"Partially Paid",AP_Invoices[Days Past Due],"&gt;"&amp;0)</f>
        <v>4</v>
      </c>
      <c r="F42" s="77">
        <f>SUMIF(AP_Invoices[Vendor],B42,AP_Invoices[Disc Missed])</f>
        <v>0</v>
      </c>
      <c r="G42" s="78">
        <f>COUNTIFS(AP_Invoices[Vendor],B42,AP_Invoices[Blocked 30d],TRUE())+COUNTIFS(AP_Invoices[Vendor],B42,AP_Invoices[Status],"Voided")+COUNTIFS(AP_Invoices[Vendor],B42,AP_Invoices[In Review 15d],TRUE())</f>
        <v>1</v>
      </c>
    </row>
    <row r="43" spans="2:7" ht="18.75" customHeight="1" x14ac:dyDescent="0.3">
      <c r="B43" s="79" t="s">
        <v>75</v>
      </c>
      <c r="C43" s="80">
        <f>SUMIF(AP_Invoices[Vendor],B43,AP_Invoices[Outstanding USD])</f>
        <v>7208.24</v>
      </c>
      <c r="D43" s="81">
        <f>COUNTIF(AP_Invoices[Vendor],B43)</f>
        <v>9</v>
      </c>
      <c r="E43" s="82">
        <f>COUNTIFS(AP_Invoices[Vendor],B43,AP_Invoices[Status],"Overdue")+COUNTIFS(AP_Invoices[Vendor],B43,AP_Invoices[Status],"Blocked")+COUNTIFS(AP_Invoices[Vendor],B43,AP_Invoices[Status],"In Review")+COUNTIFS(AP_Invoices[Vendor],B43,AP_Invoices[Status],"Partially Paid",AP_Invoices[Days Past Due],"&gt;"&amp;0)</f>
        <v>2</v>
      </c>
      <c r="F43" s="83">
        <f>SUMIF(AP_Invoices[Vendor],B43,AP_Invoices[Disc Missed])</f>
        <v>0</v>
      </c>
      <c r="G43" s="84">
        <f>COUNTIFS(AP_Invoices[Vendor],B43,AP_Invoices[Blocked 30d],TRUE())+COUNTIFS(AP_Invoices[Vendor],B43,AP_Invoices[Status],"Voided")+COUNTIFS(AP_Invoices[Vendor],B43,AP_Invoices[In Review 15d],TRUE())</f>
        <v>0</v>
      </c>
    </row>
    <row r="44" spans="2:7" ht="18.75" customHeight="1" x14ac:dyDescent="0.3">
      <c r="B44" s="73" t="s">
        <v>54</v>
      </c>
      <c r="C44" s="74">
        <f>SUMIF(AP_Invoices[Vendor],B44,AP_Invoices[Outstanding USD])</f>
        <v>6447.8499999999995</v>
      </c>
      <c r="D44" s="75">
        <f>COUNTIF(AP_Invoices[Vendor],B44)</f>
        <v>10</v>
      </c>
      <c r="E44" s="76">
        <f>COUNTIFS(AP_Invoices[Vendor],B44,AP_Invoices[Status],"Overdue")+COUNTIFS(AP_Invoices[Vendor],B44,AP_Invoices[Status],"Blocked")+COUNTIFS(AP_Invoices[Vendor],B44,AP_Invoices[Status],"In Review")+COUNTIFS(AP_Invoices[Vendor],B44,AP_Invoices[Status],"Partially Paid",AP_Invoices[Days Past Due],"&gt;"&amp;0)</f>
        <v>2</v>
      </c>
      <c r="F44" s="77">
        <f>SUMIF(AP_Invoices[Vendor],B44,AP_Invoices[Disc Missed])</f>
        <v>0</v>
      </c>
      <c r="G44" s="78">
        <f>COUNTIFS(AP_Invoices[Vendor],B44,AP_Invoices[Blocked 30d],TRUE())+COUNTIFS(AP_Invoices[Vendor],B44,AP_Invoices[Status],"Voided")+COUNTIFS(AP_Invoices[Vendor],B44,AP_Invoices[In Review 15d],TRUE())</f>
        <v>2</v>
      </c>
    </row>
    <row r="45" spans="2:7" ht="18.75" customHeight="1" x14ac:dyDescent="0.3">
      <c r="B45" s="79" t="s">
        <v>46</v>
      </c>
      <c r="C45" s="80">
        <f>SUMIF(AP_Invoices[Vendor],B45,AP_Invoices[Outstanding USD])</f>
        <v>5696.25</v>
      </c>
      <c r="D45" s="81">
        <f>COUNTIF(AP_Invoices[Vendor],B45)</f>
        <v>6</v>
      </c>
      <c r="E45" s="82">
        <f>COUNTIFS(AP_Invoices[Vendor],B45,AP_Invoices[Status],"Overdue")+COUNTIFS(AP_Invoices[Vendor],B45,AP_Invoices[Status],"Blocked")+COUNTIFS(AP_Invoices[Vendor],B45,AP_Invoices[Status],"In Review")+COUNTIFS(AP_Invoices[Vendor],B45,AP_Invoices[Status],"Partially Paid",AP_Invoices[Days Past Due],"&gt;"&amp;0)</f>
        <v>2</v>
      </c>
      <c r="F45" s="83">
        <f>SUMIF(AP_Invoices[Vendor],B45,AP_Invoices[Disc Missed])</f>
        <v>0</v>
      </c>
      <c r="G45" s="84">
        <f>COUNTIFS(AP_Invoices[Vendor],B45,AP_Invoices[Blocked 30d],TRUE())+COUNTIFS(AP_Invoices[Vendor],B45,AP_Invoices[Status],"Voided")+COUNTIFS(AP_Invoices[Vendor],B45,AP_Invoices[In Review 15d],TRUE())</f>
        <v>0</v>
      </c>
    </row>
    <row r="46" spans="2:7" ht="18.75" customHeight="1" x14ac:dyDescent="0.3">
      <c r="B46" s="73" t="s">
        <v>89</v>
      </c>
      <c r="C46" s="74">
        <f>SUMIF(AP_Invoices[Vendor],B46,AP_Invoices[Outstanding USD])</f>
        <v>4829.3900000000003</v>
      </c>
      <c r="D46" s="75">
        <f>COUNTIF(AP_Invoices[Vendor],B46)</f>
        <v>8</v>
      </c>
      <c r="E46" s="76">
        <f>COUNTIFS(AP_Invoices[Vendor],B46,AP_Invoices[Status],"Overdue")+COUNTIFS(AP_Invoices[Vendor],B46,AP_Invoices[Status],"Blocked")+COUNTIFS(AP_Invoices[Vendor],B46,AP_Invoices[Status],"In Review")+COUNTIFS(AP_Invoices[Vendor],B46,AP_Invoices[Status],"Partially Paid",AP_Invoices[Days Past Due],"&gt;"&amp;0)</f>
        <v>4</v>
      </c>
      <c r="F46" s="77">
        <f>SUMIF(AP_Invoices[Vendor],B46,AP_Invoices[Disc Missed])</f>
        <v>100.9</v>
      </c>
      <c r="G46" s="78">
        <f>COUNTIFS(AP_Invoices[Vendor],B46,AP_Invoices[Blocked 30d],TRUE())+COUNTIFS(AP_Invoices[Vendor],B46,AP_Invoices[Status],"Voided")+COUNTIFS(AP_Invoices[Vendor],B46,AP_Invoices[In Review 15d],TRUE())</f>
        <v>1</v>
      </c>
    </row>
    <row r="47" spans="2:7" ht="18.75" customHeight="1" x14ac:dyDescent="0.3">
      <c r="B47" s="79" t="s">
        <v>31</v>
      </c>
      <c r="C47" s="80">
        <f>SUMIF(AP_Invoices[Vendor],B47,AP_Invoices[Outstanding USD])</f>
        <v>3607.8900000000003</v>
      </c>
      <c r="D47" s="81">
        <f>COUNTIF(AP_Invoices[Vendor],B47)</f>
        <v>9</v>
      </c>
      <c r="E47" s="82">
        <f>COUNTIFS(AP_Invoices[Vendor],B47,AP_Invoices[Status],"Overdue")+COUNTIFS(AP_Invoices[Vendor],B47,AP_Invoices[Status],"Blocked")+COUNTIFS(AP_Invoices[Vendor],B47,AP_Invoices[Status],"In Review")+COUNTIFS(AP_Invoices[Vendor],B47,AP_Invoices[Status],"Partially Paid",AP_Invoices[Days Past Due],"&gt;"&amp;0)</f>
        <v>1</v>
      </c>
      <c r="F47" s="83">
        <f>SUMIF(AP_Invoices[Vendor],B47,AP_Invoices[Disc Missed])</f>
        <v>0</v>
      </c>
      <c r="G47" s="84">
        <f>COUNTIFS(AP_Invoices[Vendor],B47,AP_Invoices[Blocked 30d],TRUE())+COUNTIFS(AP_Invoices[Vendor],B47,AP_Invoices[Status],"Voided")+COUNTIFS(AP_Invoices[Vendor],B47,AP_Invoices[In Review 15d],TRUE())</f>
        <v>0</v>
      </c>
    </row>
    <row r="48" spans="2:7" ht="18.75" customHeight="1" x14ac:dyDescent="0.3">
      <c r="B48" s="73" t="s">
        <v>83</v>
      </c>
      <c r="C48" s="74">
        <f>SUMIF(AP_Invoices[Vendor],B48,AP_Invoices[Outstanding USD])</f>
        <v>3052.8300000000004</v>
      </c>
      <c r="D48" s="75">
        <f>COUNTIF(AP_Invoices[Vendor],B48)</f>
        <v>10</v>
      </c>
      <c r="E48" s="76">
        <f>COUNTIFS(AP_Invoices[Vendor],B48,AP_Invoices[Status],"Overdue")+COUNTIFS(AP_Invoices[Vendor],B48,AP_Invoices[Status],"Blocked")+COUNTIFS(AP_Invoices[Vendor],B48,AP_Invoices[Status],"In Review")+COUNTIFS(AP_Invoices[Vendor],B48,AP_Invoices[Status],"Partially Paid",AP_Invoices[Days Past Due],"&gt;"&amp;0)</f>
        <v>5</v>
      </c>
      <c r="F48" s="77">
        <f>SUMIF(AP_Invoices[Vendor],B48,AP_Invoices[Disc Missed])</f>
        <v>0</v>
      </c>
      <c r="G48" s="78">
        <f>COUNTIFS(AP_Invoices[Vendor],B48,AP_Invoices[Blocked 30d],TRUE())+COUNTIFS(AP_Invoices[Vendor],B48,AP_Invoices[Status],"Voided")+COUNTIFS(AP_Invoices[Vendor],B48,AP_Invoices[In Review 15d],TRUE())</f>
        <v>1</v>
      </c>
    </row>
    <row r="49" spans="2:7" ht="18.75" customHeight="1" x14ac:dyDescent="0.3">
      <c r="B49" s="79" t="s">
        <v>67</v>
      </c>
      <c r="C49" s="80">
        <f>SUMIF(AP_Invoices[Vendor],B49,AP_Invoices[Outstanding USD])</f>
        <v>2740.8599999999997</v>
      </c>
      <c r="D49" s="81">
        <f>COUNTIF(AP_Invoices[Vendor],B49)</f>
        <v>6</v>
      </c>
      <c r="E49" s="82">
        <f>COUNTIFS(AP_Invoices[Vendor],B49,AP_Invoices[Status],"Overdue")+COUNTIFS(AP_Invoices[Vendor],B49,AP_Invoices[Status],"Blocked")+COUNTIFS(AP_Invoices[Vendor],B49,AP_Invoices[Status],"In Review")+COUNTIFS(AP_Invoices[Vendor],B49,AP_Invoices[Status],"Partially Paid",AP_Invoices[Days Past Due],"&gt;"&amp;0)</f>
        <v>3</v>
      </c>
      <c r="F49" s="83">
        <f>SUMIF(AP_Invoices[Vendor],B49,AP_Invoices[Disc Missed])</f>
        <v>0</v>
      </c>
      <c r="G49" s="84">
        <f>COUNTIFS(AP_Invoices[Vendor],B49,AP_Invoices[Blocked 30d],TRUE())+COUNTIFS(AP_Invoices[Vendor],B49,AP_Invoices[Status],"Voided")+COUNTIFS(AP_Invoices[Vendor],B49,AP_Invoices[In Review 15d],TRUE())</f>
        <v>2</v>
      </c>
    </row>
    <row r="50" spans="2:7" ht="18.75" customHeight="1" x14ac:dyDescent="0.3">
      <c r="B50" s="73" t="s">
        <v>96</v>
      </c>
      <c r="C50" s="74">
        <f>SUMIF(AP_Invoices[Vendor],B50,AP_Invoices[Outstanding USD])</f>
        <v>2493.11</v>
      </c>
      <c r="D50" s="75">
        <f>COUNTIF(AP_Invoices[Vendor],B50)</f>
        <v>10</v>
      </c>
      <c r="E50" s="76">
        <f>COUNTIFS(AP_Invoices[Vendor],B50,AP_Invoices[Status],"Overdue")+COUNTIFS(AP_Invoices[Vendor],B50,AP_Invoices[Status],"Blocked")+COUNTIFS(AP_Invoices[Vendor],B50,AP_Invoices[Status],"In Review")+COUNTIFS(AP_Invoices[Vendor],B50,AP_Invoices[Status],"Partially Paid",AP_Invoices[Days Past Due],"&gt;"&amp;0)</f>
        <v>3</v>
      </c>
      <c r="F50" s="77">
        <f>SUMIF(AP_Invoices[Vendor],B50,AP_Invoices[Disc Missed])</f>
        <v>0</v>
      </c>
      <c r="G50" s="78">
        <f>COUNTIFS(AP_Invoices[Vendor],B50,AP_Invoices[Blocked 30d],TRUE())+COUNTIFS(AP_Invoices[Vendor],B50,AP_Invoices[Status],"Voided")+COUNTIFS(AP_Invoices[Vendor],B50,AP_Invoices[In Review 15d],TRUE())</f>
        <v>2</v>
      </c>
    </row>
    <row r="51" spans="2:7" ht="18.75" customHeight="1" x14ac:dyDescent="0.3">
      <c r="B51" s="79" t="s">
        <v>21</v>
      </c>
      <c r="C51" s="80">
        <f>SUMIF(AP_Invoices[Vendor],B51,AP_Invoices[Outstanding USD])</f>
        <v>2483.09</v>
      </c>
      <c r="D51" s="81">
        <f>COUNTIF(AP_Invoices[Vendor],B51)</f>
        <v>10</v>
      </c>
      <c r="E51" s="82">
        <f>COUNTIFS(AP_Invoices[Vendor],B51,AP_Invoices[Status],"Overdue")+COUNTIFS(AP_Invoices[Vendor],B51,AP_Invoices[Status],"Blocked")+COUNTIFS(AP_Invoices[Vendor],B51,AP_Invoices[Status],"In Review")+COUNTIFS(AP_Invoices[Vendor],B51,AP_Invoices[Status],"Partially Paid",AP_Invoices[Days Past Due],"&gt;"&amp;0)</f>
        <v>5</v>
      </c>
      <c r="F51" s="83">
        <f>SUMIF(AP_Invoices[Vendor],B51,AP_Invoices[Disc Missed])</f>
        <v>0</v>
      </c>
      <c r="G51" s="84">
        <f>COUNTIFS(AP_Invoices[Vendor],B51,AP_Invoices[Blocked 30d],TRUE())+COUNTIFS(AP_Invoices[Vendor],B51,AP_Invoices[Status],"Voided")+COUNTIFS(AP_Invoices[Vendor],B51,AP_Invoices[In Review 15d],TRUE())</f>
        <v>0</v>
      </c>
    </row>
    <row r="52" spans="2:7" ht="18.75" customHeight="1" x14ac:dyDescent="0.3">
      <c r="B52" s="73" t="s">
        <v>93</v>
      </c>
      <c r="C52" s="74">
        <f>SUMIF(AP_Invoices[Vendor],B52,AP_Invoices[Outstanding USD])</f>
        <v>2319.75</v>
      </c>
      <c r="D52" s="75">
        <f>COUNTIF(AP_Invoices[Vendor],B52)</f>
        <v>6</v>
      </c>
      <c r="E52" s="76">
        <f>COUNTIFS(AP_Invoices[Vendor],B52,AP_Invoices[Status],"Overdue")+COUNTIFS(AP_Invoices[Vendor],B52,AP_Invoices[Status],"Blocked")+COUNTIFS(AP_Invoices[Vendor],B52,AP_Invoices[Status],"In Review")+COUNTIFS(AP_Invoices[Vendor],B52,AP_Invoices[Status],"Partially Paid",AP_Invoices[Days Past Due],"&gt;"&amp;0)</f>
        <v>2</v>
      </c>
      <c r="F52" s="77">
        <f>SUMIF(AP_Invoices[Vendor],B52,AP_Invoices[Disc Missed])</f>
        <v>0</v>
      </c>
      <c r="G52" s="78">
        <f>COUNTIFS(AP_Invoices[Vendor],B52,AP_Invoices[Blocked 30d],TRUE())+COUNTIFS(AP_Invoices[Vendor],B52,AP_Invoices[Status],"Voided")+COUNTIFS(AP_Invoices[Vendor],B52,AP_Invoices[In Review 15d],TRUE())</f>
        <v>0</v>
      </c>
    </row>
    <row r="53" spans="2:7" ht="18.75" customHeight="1" x14ac:dyDescent="0.3">
      <c r="B53" s="79" t="s">
        <v>61</v>
      </c>
      <c r="C53" s="80">
        <f>SUMIF(AP_Invoices[Vendor],B53,AP_Invoices[Outstanding USD])</f>
        <v>2203.6</v>
      </c>
      <c r="D53" s="81">
        <f>COUNTIF(AP_Invoices[Vendor],B53)</f>
        <v>9</v>
      </c>
      <c r="E53" s="82">
        <f>COUNTIFS(AP_Invoices[Vendor],B53,AP_Invoices[Status],"Overdue")+COUNTIFS(AP_Invoices[Vendor],B53,AP_Invoices[Status],"Blocked")+COUNTIFS(AP_Invoices[Vendor],B53,AP_Invoices[Status],"In Review")+COUNTIFS(AP_Invoices[Vendor],B53,AP_Invoices[Status],"Partially Paid",AP_Invoices[Days Past Due],"&gt;"&amp;0)</f>
        <v>3</v>
      </c>
      <c r="F53" s="83">
        <f>SUMIF(AP_Invoices[Vendor],B53,AP_Invoices[Disc Missed])</f>
        <v>0</v>
      </c>
      <c r="G53" s="84">
        <f>COUNTIFS(AP_Invoices[Vendor],B53,AP_Invoices[Blocked 30d],TRUE())+COUNTIFS(AP_Invoices[Vendor],B53,AP_Invoices[Status],"Voided")+COUNTIFS(AP_Invoices[Vendor],B53,AP_Invoices[In Review 15d],TRUE())</f>
        <v>2</v>
      </c>
    </row>
    <row r="54" spans="2:7" ht="18.75" customHeight="1" x14ac:dyDescent="0.3">
      <c r="B54" s="73" t="s">
        <v>79</v>
      </c>
      <c r="C54" s="74">
        <f>SUMIF(AP_Invoices[Vendor],B54,AP_Invoices[Outstanding USD])</f>
        <v>827.87999999999988</v>
      </c>
      <c r="D54" s="75">
        <f>COUNTIF(AP_Invoices[Vendor],B54)</f>
        <v>10</v>
      </c>
      <c r="E54" s="76">
        <f>COUNTIFS(AP_Invoices[Vendor],B54,AP_Invoices[Status],"Overdue")+COUNTIFS(AP_Invoices[Vendor],B54,AP_Invoices[Status],"Blocked")+COUNTIFS(AP_Invoices[Vendor],B54,AP_Invoices[Status],"In Review")+COUNTIFS(AP_Invoices[Vendor],B54,AP_Invoices[Status],"Partially Paid",AP_Invoices[Days Past Due],"&gt;"&amp;0)</f>
        <v>2</v>
      </c>
      <c r="F54" s="77">
        <f>SUMIF(AP_Invoices[Vendor],B54,AP_Invoices[Disc Missed])</f>
        <v>0</v>
      </c>
      <c r="G54" s="78">
        <f>COUNTIFS(AP_Invoices[Vendor],B54,AP_Invoices[Blocked 30d],TRUE())+COUNTIFS(AP_Invoices[Vendor],B54,AP_Invoices[Status],"Voided")+COUNTIFS(AP_Invoices[Vendor],B54,AP_Invoices[In Review 15d],TRUE())</f>
        <v>2</v>
      </c>
    </row>
    <row r="56" spans="2:7" ht="18.75" customHeight="1" x14ac:dyDescent="0.3">
      <c r="B56" s="129" t="s">
        <v>392</v>
      </c>
      <c r="C56" s="129"/>
      <c r="D56" s="129"/>
      <c r="E56" s="129"/>
      <c r="F56" s="129"/>
    </row>
    <row r="57" spans="2:7" ht="18.75" customHeight="1" x14ac:dyDescent="0.3">
      <c r="B57" s="64" t="s">
        <v>352</v>
      </c>
      <c r="C57" s="64" t="s">
        <v>393</v>
      </c>
      <c r="D57" s="64" t="s">
        <v>22</v>
      </c>
      <c r="E57" s="64" t="s">
        <v>32</v>
      </c>
      <c r="F57" s="64" t="s">
        <v>68</v>
      </c>
      <c r="G57" s="64" t="s">
        <v>94</v>
      </c>
    </row>
    <row r="58" spans="2:7" ht="18.75" customHeight="1" x14ac:dyDescent="0.3">
      <c r="B58" s="73" t="s">
        <v>355</v>
      </c>
      <c r="C58" s="85">
        <f>COUNTIF(AP_Invoices[Blocked 30d],TRUE())</f>
        <v>7</v>
      </c>
      <c r="D58" s="86">
        <f>COUNTIFS(AP_Invoices[Blocked 30d],TRUE(),AP_Invoices[Company],"US01")</f>
        <v>2</v>
      </c>
      <c r="E58" s="86">
        <f>COUNTIFS(AP_Invoices[Blocked 30d],TRUE(),AP_Invoices[Company],"US02")</f>
        <v>4</v>
      </c>
      <c r="F58" s="86">
        <f>COUNTIFS(AP_Invoices[Blocked 30d],TRUE(),AP_Invoices[Company],"MX01")</f>
        <v>1</v>
      </c>
      <c r="G58" s="87">
        <f>COUNTIFS(AP_Invoices[Blocked 30d],TRUE(),AP_Invoices[Company],"US03")</f>
        <v>0</v>
      </c>
    </row>
    <row r="59" spans="2:7" ht="18.75" customHeight="1" x14ac:dyDescent="0.3">
      <c r="B59" s="79" t="s">
        <v>357</v>
      </c>
      <c r="C59" s="88">
        <f>COUNTIF(AP_Invoices[In Review 15d],TRUE())</f>
        <v>4</v>
      </c>
      <c r="D59" s="89">
        <f>COUNTIFS(AP_Invoices[In Review 15d],TRUE(),AP_Invoices[Company],"US01")</f>
        <v>2</v>
      </c>
      <c r="E59" s="89">
        <f>COUNTIFS(AP_Invoices[In Review 15d],TRUE(),AP_Invoices[Company],"US02")</f>
        <v>2</v>
      </c>
      <c r="F59" s="89">
        <f>COUNTIFS(AP_Invoices[In Review 15d],TRUE(),AP_Invoices[Company],"MX01")</f>
        <v>0</v>
      </c>
      <c r="G59" s="90">
        <f>COUNTIFS(AP_Invoices[In Review 15d],TRUE(),AP_Invoices[Company],"US03")</f>
        <v>0</v>
      </c>
    </row>
    <row r="60" spans="2:7" ht="18.75" customHeight="1" x14ac:dyDescent="0.3">
      <c r="B60" s="73" t="s">
        <v>108</v>
      </c>
      <c r="C60" s="85">
        <f>COUNTIF(AP_Invoices[Status],"Voided")</f>
        <v>3</v>
      </c>
      <c r="D60" s="86">
        <f>COUNTIFS(AP_Invoices[Status],"Voided",AP_Invoices[Company],"US01")</f>
        <v>0</v>
      </c>
      <c r="E60" s="86">
        <f>COUNTIFS(AP_Invoices[Status],"Voided",AP_Invoices[Company],"US02")</f>
        <v>2</v>
      </c>
      <c r="F60" s="86">
        <f>COUNTIFS(AP_Invoices[Status],"Voided",AP_Invoices[Company],"MX01")</f>
        <v>1</v>
      </c>
      <c r="G60" s="87">
        <f>COUNTIFS(AP_Invoices[Status],"Voided",AP_Invoices[Company],"US03")</f>
        <v>0</v>
      </c>
    </row>
  </sheetData>
  <mergeCells count="7">
    <mergeCell ref="B38:G38"/>
    <mergeCell ref="B56:F56"/>
    <mergeCell ref="B1:F1"/>
    <mergeCell ref="B3:F3"/>
    <mergeCell ref="B12:F12"/>
    <mergeCell ref="B20:F20"/>
    <mergeCell ref="B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8" sqref="A8"/>
      <selection pane="bottomRight" activeCell="H6" sqref="H6"/>
    </sheetView>
  </sheetViews>
  <sheetFormatPr defaultColWidth="8.7109375" defaultRowHeight="18.75" x14ac:dyDescent="0.3"/>
  <cols>
    <col min="1" max="1" width="1.5703125" style="39" customWidth="1"/>
    <col min="2" max="2" width="26.5703125" style="39" customWidth="1"/>
    <col min="3" max="3" width="20.85546875" style="39" customWidth="1"/>
    <col min="4" max="4" width="16.85546875" style="39" customWidth="1"/>
    <col min="5" max="5" width="18.7109375" style="39" customWidth="1"/>
    <col min="6" max="6" width="20.42578125" style="39" customWidth="1"/>
    <col min="7" max="7" width="13.7109375" style="39" customWidth="1"/>
    <col min="8" max="8" width="28" style="39" customWidth="1"/>
    <col min="9" max="16384" width="8.7109375" style="39"/>
  </cols>
  <sheetData>
    <row r="1" spans="1:8" ht="13.5" customHeight="1" x14ac:dyDescent="0.3">
      <c r="A1" s="40"/>
      <c r="B1" s="130" t="s">
        <v>394</v>
      </c>
      <c r="C1" s="130"/>
      <c r="D1" s="130"/>
      <c r="E1" s="130"/>
      <c r="F1" s="130"/>
      <c r="G1" s="130"/>
      <c r="H1" s="130"/>
    </row>
    <row r="2" spans="1:8" ht="24.75" customHeight="1" x14ac:dyDescent="0.3">
      <c r="A2" s="40"/>
      <c r="B2" s="130"/>
      <c r="C2" s="130"/>
      <c r="D2" s="130"/>
      <c r="E2" s="130"/>
      <c r="F2" s="130"/>
      <c r="G2" s="130"/>
      <c r="H2" s="130"/>
    </row>
    <row r="3" spans="1:8" ht="32.25" customHeight="1" x14ac:dyDescent="0.3">
      <c r="B3" s="131" t="s">
        <v>395</v>
      </c>
      <c r="C3" s="131"/>
      <c r="D3" s="131"/>
      <c r="E3" s="131"/>
      <c r="F3" s="131"/>
      <c r="G3" s="131"/>
      <c r="H3" s="131"/>
    </row>
    <row r="4" spans="1:8" ht="23.25" customHeight="1" x14ac:dyDescent="0.3">
      <c r="B4" s="91" t="s">
        <v>1</v>
      </c>
      <c r="C4" s="91" t="s">
        <v>9</v>
      </c>
      <c r="D4" s="91" t="s">
        <v>388</v>
      </c>
      <c r="E4" s="91" t="s">
        <v>389</v>
      </c>
      <c r="F4" s="91" t="s">
        <v>390</v>
      </c>
      <c r="G4" s="91" t="s">
        <v>391</v>
      </c>
      <c r="H4" s="91" t="s">
        <v>396</v>
      </c>
    </row>
    <row r="5" spans="1:8" ht="18" customHeight="1" x14ac:dyDescent="0.3">
      <c r="B5" s="73" t="str">
        <f>'Summary Tables'!B40</f>
        <v>Fresh Beverages Inc</v>
      </c>
      <c r="C5" s="74">
        <f>'Summary Tables'!C40</f>
        <v>13779.17</v>
      </c>
      <c r="D5" s="86">
        <f>'Summary Tables'!D40</f>
        <v>9</v>
      </c>
      <c r="E5" s="92">
        <f>'Summary Tables'!E40</f>
        <v>3</v>
      </c>
      <c r="F5" s="77">
        <f>'Summary Tables'!F40</f>
        <v>0</v>
      </c>
      <c r="G5" s="85">
        <f>'Summary Tables'!G40</f>
        <v>0</v>
      </c>
      <c r="H5" s="93" t="str">
        <f>IF(AND('Summary Tables'!G40&gt;=5,'Summary Tables'!F40&gt;0),"⚠ High — Exceptions + Missed Discount",IF('Summary Tables'!G40&gt;=5,"⚠ High — Multiple Exceptions",IF('Summary Tables'!F40&gt;50,"⚠ Review — Missed Discount",IF('Summary Tables'!C40&gt;10000,"► Monitor — High Balance","✓ Normal"))))</f>
        <v>► Monitor — High Balance</v>
      </c>
    </row>
    <row r="6" spans="1:8" ht="18" customHeight="1" x14ac:dyDescent="0.3">
      <c r="B6" s="79" t="str">
        <f>'Summary Tables'!B41</f>
        <v>Continental Freight</v>
      </c>
      <c r="C6" s="80">
        <f>'Summary Tables'!C41</f>
        <v>11030.14</v>
      </c>
      <c r="D6" s="89">
        <f>'Summary Tables'!D41</f>
        <v>9</v>
      </c>
      <c r="E6" s="94">
        <f>'Summary Tables'!E41</f>
        <v>4</v>
      </c>
      <c r="F6" s="83">
        <f>'Summary Tables'!F41</f>
        <v>451.07999999999993</v>
      </c>
      <c r="G6" s="88">
        <f>'Summary Tables'!G41</f>
        <v>1</v>
      </c>
      <c r="H6" s="95" t="str">
        <f>IF(AND('Summary Tables'!G41&gt;=5,'Summary Tables'!F41&gt;0),"⚠ High — Exceptions + Missed Discount",IF('Summary Tables'!G41&gt;=5,"⚠ High — Multiple Exceptions",IF('Summary Tables'!F41&gt;50,"⚠ Review — Missed Discount",IF('Summary Tables'!C41&gt;10000,"► Monitor — High Balance","✓ Normal"))))</f>
        <v>⚠ Review — Missed Discount</v>
      </c>
    </row>
    <row r="7" spans="1:8" ht="18" customHeight="1" x14ac:dyDescent="0.3">
      <c r="B7" s="73" t="str">
        <f>'Summary Tables'!B42</f>
        <v>IT Services Group</v>
      </c>
      <c r="C7" s="74">
        <f>'Summary Tables'!C42</f>
        <v>8700.57</v>
      </c>
      <c r="D7" s="86">
        <f>'Summary Tables'!D42</f>
        <v>9</v>
      </c>
      <c r="E7" s="92">
        <f>'Summary Tables'!E42</f>
        <v>4</v>
      </c>
      <c r="F7" s="77">
        <f>'Summary Tables'!F42</f>
        <v>0</v>
      </c>
      <c r="G7" s="85">
        <f>'Summary Tables'!G42</f>
        <v>1</v>
      </c>
      <c r="H7" s="93" t="str">
        <f>IF(AND('Summary Tables'!G42&gt;=5,'Summary Tables'!F42&gt;0),"⚠ High — Exceptions + Missed Discount",IF('Summary Tables'!G42&gt;=5,"⚠ High — Multiple Exceptions",IF('Summary Tables'!F42&gt;50,"⚠ Review — Missed Discount",IF('Summary Tables'!C42&gt;10000,"► Monitor — High Balance","✓ Normal"))))</f>
        <v>✓ Normal</v>
      </c>
    </row>
    <row r="8" spans="1:8" ht="18" customHeight="1" x14ac:dyDescent="0.3">
      <c r="B8" s="79" t="str">
        <f>'Summary Tables'!B43</f>
        <v>Vendor One Foods</v>
      </c>
      <c r="C8" s="80">
        <f>'Summary Tables'!C43</f>
        <v>7208.24</v>
      </c>
      <c r="D8" s="89">
        <f>'Summary Tables'!D43</f>
        <v>9</v>
      </c>
      <c r="E8" s="94">
        <f>'Summary Tables'!E43</f>
        <v>2</v>
      </c>
      <c r="F8" s="83">
        <f>'Summary Tables'!F43</f>
        <v>0</v>
      </c>
      <c r="G8" s="88">
        <f>'Summary Tables'!G43</f>
        <v>0</v>
      </c>
      <c r="H8" s="95" t="str">
        <f>IF(AND('Summary Tables'!G43&gt;=5,'Summary Tables'!F43&gt;0),"⚠ High — Exceptions + Missed Discount",IF('Summary Tables'!G43&gt;=5,"⚠ High — Multiple Exceptions",IF('Summary Tables'!F43&gt;50,"⚠ Review — Missed Discount",IF('Summary Tables'!C43&gt;10000,"► Monitor — High Balance","✓ Normal"))))</f>
        <v>✓ Normal</v>
      </c>
    </row>
    <row r="9" spans="1:8" ht="18" customHeight="1" x14ac:dyDescent="0.3">
      <c r="B9" s="73" t="str">
        <f>'Summary Tables'!B44</f>
        <v>Logistics Partners</v>
      </c>
      <c r="C9" s="74">
        <f>'Summary Tables'!C44</f>
        <v>6447.8499999999995</v>
      </c>
      <c r="D9" s="86">
        <f>'Summary Tables'!D44</f>
        <v>10</v>
      </c>
      <c r="E9" s="92">
        <f>'Summary Tables'!E44</f>
        <v>2</v>
      </c>
      <c r="F9" s="77">
        <f>'Summary Tables'!F44</f>
        <v>0</v>
      </c>
      <c r="G9" s="85">
        <f>'Summary Tables'!G44</f>
        <v>2</v>
      </c>
      <c r="H9" s="93" t="str">
        <f>IF(AND('Summary Tables'!G44&gt;=5,'Summary Tables'!F44&gt;0),"⚠ High — Exceptions + Missed Discount",IF('Summary Tables'!G44&gt;=5,"⚠ High — Multiple Exceptions",IF('Summary Tables'!F44&gt;50,"⚠ Review — Missed Discount",IF('Summary Tables'!C44&gt;10000,"► Monitor — High Balance","✓ Normal"))))</f>
        <v>✓ Normal</v>
      </c>
    </row>
    <row r="10" spans="1:8" ht="18" customHeight="1" x14ac:dyDescent="0.3">
      <c r="B10" s="79" t="str">
        <f>'Summary Tables'!B45</f>
        <v>EuroFreight GmbH</v>
      </c>
      <c r="C10" s="80">
        <f>'Summary Tables'!C45</f>
        <v>5696.25</v>
      </c>
      <c r="D10" s="89">
        <f>'Summary Tables'!D45</f>
        <v>6</v>
      </c>
      <c r="E10" s="94">
        <f>'Summary Tables'!E45</f>
        <v>2</v>
      </c>
      <c r="F10" s="83">
        <f>'Summary Tables'!F45</f>
        <v>0</v>
      </c>
      <c r="G10" s="88">
        <f>'Summary Tables'!G45</f>
        <v>0</v>
      </c>
      <c r="H10" s="95" t="str">
        <f>IF(AND('Summary Tables'!G45&gt;=5,'Summary Tables'!F45&gt;0),"⚠ High — Exceptions + Missed Discount",IF('Summary Tables'!G45&gt;=5,"⚠ High — Multiple Exceptions",IF('Summary Tables'!F45&gt;50,"⚠ Review — Missed Discount",IF('Summary Tables'!C45&gt;10000,"► Monitor — High Balance","✓ Normal"))))</f>
        <v>✓ Normal</v>
      </c>
    </row>
    <row r="11" spans="1:8" ht="18" customHeight="1" x14ac:dyDescent="0.3">
      <c r="B11" s="73" t="str">
        <f>'Summary Tables'!B46</f>
        <v>Metro Packaging</v>
      </c>
      <c r="C11" s="74">
        <f>'Summary Tables'!C46</f>
        <v>4829.3900000000003</v>
      </c>
      <c r="D11" s="86">
        <f>'Summary Tables'!D46</f>
        <v>8</v>
      </c>
      <c r="E11" s="92">
        <f>'Summary Tables'!E46</f>
        <v>4</v>
      </c>
      <c r="F11" s="77">
        <f>'Summary Tables'!F46</f>
        <v>100.9</v>
      </c>
      <c r="G11" s="85">
        <f>'Summary Tables'!G46</f>
        <v>1</v>
      </c>
      <c r="H11" s="93" t="str">
        <f>IF(AND('Summary Tables'!G46&gt;=5,'Summary Tables'!F46&gt;0),"⚠ High — Exceptions + Missed Discount",IF('Summary Tables'!G46&gt;=5,"⚠ High — Multiple Exceptions",IF('Summary Tables'!F46&gt;50,"⚠ Review — Missed Discount",IF('Summary Tables'!C46&gt;10000,"► Monitor — High Balance","✓ Normal"))))</f>
        <v>⚠ Review — Missed Discount</v>
      </c>
    </row>
    <row r="12" spans="1:8" ht="18" customHeight="1" x14ac:dyDescent="0.3">
      <c r="B12" s="79" t="str">
        <f>'Summary Tables'!B47</f>
        <v>Northside Transport</v>
      </c>
      <c r="C12" s="80">
        <f>'Summary Tables'!C47</f>
        <v>3607.8900000000003</v>
      </c>
      <c r="D12" s="89">
        <f>'Summary Tables'!D47</f>
        <v>9</v>
      </c>
      <c r="E12" s="94">
        <f>'Summary Tables'!E47</f>
        <v>1</v>
      </c>
      <c r="F12" s="83">
        <f>'Summary Tables'!F47</f>
        <v>0</v>
      </c>
      <c r="G12" s="88">
        <f>'Summary Tables'!G47</f>
        <v>0</v>
      </c>
      <c r="H12" s="95" t="str">
        <f>IF(AND('Summary Tables'!G47&gt;=5,'Summary Tables'!F47&gt;0),"⚠ High — Exceptions + Missed Discount",IF('Summary Tables'!G47&gt;=5,"⚠ High — Multiple Exceptions",IF('Summary Tables'!F47&gt;50,"⚠ Review — Missed Discount",IF('Summary Tables'!C47&gt;10000,"► Monitor — High Balance","✓ Normal"))))</f>
        <v>✓ Normal</v>
      </c>
    </row>
    <row r="13" spans="1:8" ht="18" customHeight="1" x14ac:dyDescent="0.3">
      <c r="B13" s="73" t="str">
        <f>'Summary Tables'!B48</f>
        <v>City Utilities</v>
      </c>
      <c r="C13" s="74">
        <f>'Summary Tables'!C48</f>
        <v>3052.8300000000004</v>
      </c>
      <c r="D13" s="86">
        <f>'Summary Tables'!D48</f>
        <v>10</v>
      </c>
      <c r="E13" s="92">
        <f>'Summary Tables'!E48</f>
        <v>5</v>
      </c>
      <c r="F13" s="77">
        <f>'Summary Tables'!F48</f>
        <v>0</v>
      </c>
      <c r="G13" s="85">
        <f>'Summary Tables'!G48</f>
        <v>1</v>
      </c>
      <c r="H13" s="93" t="str">
        <f>IF(AND('Summary Tables'!G48&gt;=5,'Summary Tables'!F48&gt;0),"⚠ High — Exceptions + Missed Discount",IF('Summary Tables'!G48&gt;=5,"⚠ High — Multiple Exceptions",IF('Summary Tables'!F48&gt;50,"⚠ Review — Missed Discount",IF('Summary Tables'!C48&gt;10000,"► Monitor — High Balance","✓ Normal"))))</f>
        <v>✓ Normal</v>
      </c>
    </row>
    <row r="14" spans="1:8" ht="18" customHeight="1" x14ac:dyDescent="0.3">
      <c r="B14" s="79" t="str">
        <f>'Summary Tables'!B49</f>
        <v>Suministros MX</v>
      </c>
      <c r="C14" s="80">
        <f>'Summary Tables'!C49</f>
        <v>2740.8599999999997</v>
      </c>
      <c r="D14" s="89">
        <f>'Summary Tables'!D49</f>
        <v>6</v>
      </c>
      <c r="E14" s="94">
        <f>'Summary Tables'!E49</f>
        <v>3</v>
      </c>
      <c r="F14" s="83">
        <f>'Summary Tables'!F49</f>
        <v>0</v>
      </c>
      <c r="G14" s="88">
        <f>'Summary Tables'!G49</f>
        <v>2</v>
      </c>
      <c r="H14" s="95" t="str">
        <f>IF(AND('Summary Tables'!G49&gt;=5,'Summary Tables'!F49&gt;0),"⚠ High — Exceptions + Missed Discount",IF('Summary Tables'!G49&gt;=5,"⚠ High — Multiple Exceptions",IF('Summary Tables'!F49&gt;50,"⚠ Review — Missed Discount",IF('Summary Tables'!C49&gt;10000,"► Monitor — High Balance","✓ Normal"))))</f>
        <v>✓ Normal</v>
      </c>
    </row>
    <row r="15" spans="1:8" ht="18" customHeight="1" x14ac:dyDescent="0.3">
      <c r="B15" s="73" t="str">
        <f>'Summary Tables'!B50</f>
        <v>Packaging World</v>
      </c>
      <c r="C15" s="74">
        <f>'Summary Tables'!C50</f>
        <v>2493.11</v>
      </c>
      <c r="D15" s="86">
        <f>'Summary Tables'!D50</f>
        <v>10</v>
      </c>
      <c r="E15" s="92">
        <f>'Summary Tables'!E50</f>
        <v>3</v>
      </c>
      <c r="F15" s="77">
        <f>'Summary Tables'!F50</f>
        <v>0</v>
      </c>
      <c r="G15" s="85">
        <f>'Summary Tables'!G50</f>
        <v>2</v>
      </c>
      <c r="H15" s="93" t="str">
        <f>IF(AND('Summary Tables'!G50&gt;=5,'Summary Tables'!F50&gt;0),"⚠ High — Exceptions + Missed Discount",IF('Summary Tables'!G50&gt;=5,"⚠ High — Multiple Exceptions",IF('Summary Tables'!F50&gt;50,"⚠ Review — Missed Discount",IF('Summary Tables'!C50&gt;10000,"► Monitor — High Balance","✓ Normal"))))</f>
        <v>✓ Normal</v>
      </c>
    </row>
    <row r="16" spans="1:8" ht="18" customHeight="1" x14ac:dyDescent="0.3">
      <c r="B16" s="79" t="str">
        <f>'Summary Tables'!B51</f>
        <v>Office Supply Co</v>
      </c>
      <c r="C16" s="80">
        <f>'Summary Tables'!C51</f>
        <v>2483.09</v>
      </c>
      <c r="D16" s="89">
        <f>'Summary Tables'!D51</f>
        <v>10</v>
      </c>
      <c r="E16" s="94">
        <f>'Summary Tables'!E51</f>
        <v>5</v>
      </c>
      <c r="F16" s="83">
        <f>'Summary Tables'!F51</f>
        <v>0</v>
      </c>
      <c r="G16" s="88">
        <f>'Summary Tables'!G51</f>
        <v>0</v>
      </c>
      <c r="H16" s="95" t="str">
        <f>IF(AND('Summary Tables'!G51&gt;=5,'Summary Tables'!F51&gt;0),"⚠ High — Exceptions + Missed Discount",IF('Summary Tables'!G51&gt;=5,"⚠ High — Multiple Exceptions",IF('Summary Tables'!F51&gt;50,"⚠ Review — Missed Discount",IF('Summary Tables'!C51&gt;10000,"► Monitor — High Balance","✓ Normal"))))</f>
        <v>✓ Normal</v>
      </c>
    </row>
    <row r="17" spans="2:8" ht="18" customHeight="1" x14ac:dyDescent="0.3">
      <c r="B17" s="73" t="str">
        <f>'Summary Tables'!B52</f>
        <v>Alpha Facilities Mgmt</v>
      </c>
      <c r="C17" s="74">
        <f>'Summary Tables'!C52</f>
        <v>2319.75</v>
      </c>
      <c r="D17" s="86">
        <f>'Summary Tables'!D52</f>
        <v>6</v>
      </c>
      <c r="E17" s="92">
        <f>'Summary Tables'!E52</f>
        <v>2</v>
      </c>
      <c r="F17" s="77">
        <f>'Summary Tables'!F52</f>
        <v>0</v>
      </c>
      <c r="G17" s="85">
        <f>'Summary Tables'!G52</f>
        <v>0</v>
      </c>
      <c r="H17" s="93" t="str">
        <f>IF(AND('Summary Tables'!G52&gt;=5,'Summary Tables'!F52&gt;0),"⚠ High — Exceptions + Missed Discount",IF('Summary Tables'!G52&gt;=5,"⚠ High — Multiple Exceptions",IF('Summary Tables'!F52&gt;50,"⚠ Review — Missed Discount",IF('Summary Tables'!C52&gt;10000,"► Monitor — High Balance","✓ Normal"))))</f>
        <v>✓ Normal</v>
      </c>
    </row>
    <row r="18" spans="2:8" ht="18" customHeight="1" x14ac:dyDescent="0.3">
      <c r="B18" s="79" t="str">
        <f>'Summary Tables'!B53</f>
        <v>West Coast Paper</v>
      </c>
      <c r="C18" s="80">
        <f>'Summary Tables'!C53</f>
        <v>2203.6</v>
      </c>
      <c r="D18" s="89">
        <f>'Summary Tables'!D53</f>
        <v>9</v>
      </c>
      <c r="E18" s="94">
        <f>'Summary Tables'!E53</f>
        <v>3</v>
      </c>
      <c r="F18" s="83">
        <f>'Summary Tables'!F53</f>
        <v>0</v>
      </c>
      <c r="G18" s="88">
        <f>'Summary Tables'!G53</f>
        <v>2</v>
      </c>
      <c r="H18" s="95" t="str">
        <f>IF(AND('Summary Tables'!G53&gt;=5,'Summary Tables'!F53&gt;0),"⚠ High — Exceptions + Missed Discount",IF('Summary Tables'!G53&gt;=5,"⚠ High — Multiple Exceptions",IF('Summary Tables'!F53&gt;50,"⚠ Review — Missed Discount",IF('Summary Tables'!C53&gt;10000,"► Monitor — High Balance","✓ Normal"))))</f>
        <v>✓ Normal</v>
      </c>
    </row>
    <row r="19" spans="2:8" ht="18" customHeight="1" x14ac:dyDescent="0.3">
      <c r="B19" s="73" t="str">
        <f>'Summary Tables'!B54</f>
        <v>Cleaning Solutions</v>
      </c>
      <c r="C19" s="74">
        <f>'Summary Tables'!C54</f>
        <v>827.87999999999988</v>
      </c>
      <c r="D19" s="86">
        <f>'Summary Tables'!D54</f>
        <v>10</v>
      </c>
      <c r="E19" s="92">
        <f>'Summary Tables'!E54</f>
        <v>2</v>
      </c>
      <c r="F19" s="77">
        <f>'Summary Tables'!F54</f>
        <v>0</v>
      </c>
      <c r="G19" s="85">
        <f>'Summary Tables'!G54</f>
        <v>2</v>
      </c>
      <c r="H19" s="93" t="str">
        <f>IF(AND('Summary Tables'!G54&gt;=5,'Summary Tables'!F54&gt;0),"⚠ High — Exceptions + Missed Discount",IF('Summary Tables'!G54&gt;=5,"⚠ High — Multiple Exceptions",IF('Summary Tables'!F54&gt;50,"⚠ Review — Missed Discount",IF('Summary Tables'!C54&gt;10000,"► Monitor — High Balance","✓ Normal"))))</f>
        <v>✓ Normal</v>
      </c>
    </row>
  </sheetData>
  <mergeCells count="2">
    <mergeCell ref="B1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zoomScaleNormal="100" workbookViewId="0">
      <pane xSplit="1" ySplit="3" topLeftCell="B14" activePane="bottomRight" state="frozen"/>
      <selection pane="topRight" activeCell="B1" sqref="B1"/>
      <selection pane="bottomLeft" activeCell="A7" sqref="A7"/>
      <selection pane="bottomRight" activeCell="D14" sqref="D14"/>
    </sheetView>
  </sheetViews>
  <sheetFormatPr defaultColWidth="8.7109375" defaultRowHeight="15.75" x14ac:dyDescent="0.25"/>
  <cols>
    <col min="1" max="1" width="2" style="96" customWidth="1"/>
    <col min="2" max="2" width="32.5703125" style="96" customWidth="1"/>
    <col min="3" max="3" width="69.140625" style="96" customWidth="1"/>
    <col min="4" max="4" width="32" style="96" customWidth="1"/>
    <col min="5" max="5" width="25.85546875" style="96" customWidth="1"/>
    <col min="6" max="16384" width="8.7109375" style="96"/>
  </cols>
  <sheetData>
    <row r="1" spans="1:5" x14ac:dyDescent="0.25">
      <c r="A1" s="97"/>
      <c r="B1" s="116" t="s">
        <v>397</v>
      </c>
      <c r="C1" s="116"/>
      <c r="D1" s="116"/>
      <c r="E1" s="116"/>
    </row>
    <row r="2" spans="1:5" x14ac:dyDescent="0.25">
      <c r="A2" s="97"/>
      <c r="B2" s="116"/>
      <c r="C2" s="116"/>
      <c r="D2" s="116"/>
      <c r="E2" s="116"/>
    </row>
    <row r="3" spans="1:5" x14ac:dyDescent="0.25">
      <c r="B3" s="98" t="s">
        <v>398</v>
      </c>
      <c r="C3" s="98" t="s">
        <v>399</v>
      </c>
      <c r="D3" s="98" t="s">
        <v>400</v>
      </c>
      <c r="E3" s="98" t="s">
        <v>366</v>
      </c>
    </row>
    <row r="4" spans="1:5" x14ac:dyDescent="0.25">
      <c r="B4" s="117" t="s">
        <v>401</v>
      </c>
      <c r="C4" s="117"/>
      <c r="D4" s="117"/>
      <c r="E4" s="117"/>
    </row>
    <row r="5" spans="1:5" ht="94.5" x14ac:dyDescent="0.25">
      <c r="B5" s="99" t="s">
        <v>367</v>
      </c>
      <c r="C5" s="100" t="s">
        <v>402</v>
      </c>
      <c r="D5" s="101" t="s">
        <v>403</v>
      </c>
      <c r="E5" s="102" t="s">
        <v>404</v>
      </c>
    </row>
    <row r="6" spans="1:5" ht="126" x14ac:dyDescent="0.25">
      <c r="B6" s="103" t="s">
        <v>371</v>
      </c>
      <c r="C6" s="104" t="s">
        <v>405</v>
      </c>
      <c r="D6" s="105" t="s">
        <v>406</v>
      </c>
      <c r="E6" s="106" t="s">
        <v>407</v>
      </c>
    </row>
    <row r="7" spans="1:5" ht="47.25" x14ac:dyDescent="0.25">
      <c r="B7" s="99" t="s">
        <v>373</v>
      </c>
      <c r="C7" s="100" t="s">
        <v>408</v>
      </c>
      <c r="D7" s="101" t="s">
        <v>409</v>
      </c>
      <c r="E7" s="102" t="s">
        <v>410</v>
      </c>
    </row>
    <row r="8" spans="1:5" ht="47.25" x14ac:dyDescent="0.25">
      <c r="B8" s="103" t="s">
        <v>375</v>
      </c>
      <c r="C8" s="104" t="s">
        <v>411</v>
      </c>
      <c r="D8" s="105" t="s">
        <v>412</v>
      </c>
      <c r="E8" s="106" t="s">
        <v>413</v>
      </c>
    </row>
    <row r="9" spans="1:5" x14ac:dyDescent="0.25">
      <c r="B9" s="117" t="s">
        <v>414</v>
      </c>
      <c r="C9" s="117"/>
      <c r="D9" s="117"/>
      <c r="E9" s="117"/>
    </row>
    <row r="10" spans="1:5" ht="63" x14ac:dyDescent="0.25">
      <c r="B10" s="103" t="s">
        <v>415</v>
      </c>
      <c r="C10" s="104" t="s">
        <v>416</v>
      </c>
      <c r="D10" s="105" t="s">
        <v>417</v>
      </c>
      <c r="E10" s="106" t="s">
        <v>418</v>
      </c>
    </row>
    <row r="11" spans="1:5" ht="78.75" x14ac:dyDescent="0.25">
      <c r="B11" s="99" t="s">
        <v>419</v>
      </c>
      <c r="C11" s="100" t="s">
        <v>420</v>
      </c>
      <c r="D11" s="101" t="s">
        <v>421</v>
      </c>
      <c r="E11" s="102" t="s">
        <v>422</v>
      </c>
    </row>
    <row r="12" spans="1:5" ht="78.75" x14ac:dyDescent="0.25">
      <c r="B12" s="103" t="s">
        <v>423</v>
      </c>
      <c r="C12" s="104" t="s">
        <v>424</v>
      </c>
      <c r="D12" s="105" t="s">
        <v>425</v>
      </c>
      <c r="E12" s="106" t="s">
        <v>426</v>
      </c>
    </row>
    <row r="13" spans="1:5" x14ac:dyDescent="0.25">
      <c r="B13" s="117" t="s">
        <v>427</v>
      </c>
      <c r="C13" s="117"/>
      <c r="D13" s="117"/>
      <c r="E13" s="117"/>
    </row>
    <row r="14" spans="1:5" ht="94.5" x14ac:dyDescent="0.25">
      <c r="B14" s="103" t="s">
        <v>428</v>
      </c>
      <c r="C14" s="104" t="s">
        <v>429</v>
      </c>
      <c r="D14" s="105" t="s">
        <v>430</v>
      </c>
      <c r="E14" s="106" t="s">
        <v>431</v>
      </c>
    </row>
    <row r="15" spans="1:5" ht="94.5" x14ac:dyDescent="0.25">
      <c r="B15" s="99" t="s">
        <v>432</v>
      </c>
      <c r="C15" s="100" t="s">
        <v>433</v>
      </c>
      <c r="D15" s="101" t="s">
        <v>434</v>
      </c>
      <c r="E15" s="102" t="s">
        <v>431</v>
      </c>
    </row>
    <row r="16" spans="1:5" ht="44.25" customHeight="1" x14ac:dyDescent="0.25">
      <c r="B16" s="103" t="s">
        <v>435</v>
      </c>
      <c r="C16" s="104" t="s">
        <v>436</v>
      </c>
      <c r="D16" s="105" t="s">
        <v>437</v>
      </c>
      <c r="E16" s="106" t="s">
        <v>431</v>
      </c>
    </row>
    <row r="17" spans="2:5" ht="157.5" x14ac:dyDescent="0.25">
      <c r="B17" s="99" t="s">
        <v>438</v>
      </c>
      <c r="C17" s="100" t="s">
        <v>439</v>
      </c>
      <c r="D17" s="101" t="s">
        <v>440</v>
      </c>
      <c r="E17" s="102" t="s">
        <v>441</v>
      </c>
    </row>
    <row r="18" spans="2:5" ht="110.25" x14ac:dyDescent="0.25">
      <c r="B18" s="103" t="s">
        <v>442</v>
      </c>
      <c r="C18" s="104" t="s">
        <v>443</v>
      </c>
      <c r="D18" s="105" t="s">
        <v>444</v>
      </c>
      <c r="E18" s="106" t="s">
        <v>445</v>
      </c>
    </row>
    <row r="19" spans="2:5" ht="63" x14ac:dyDescent="0.25">
      <c r="B19" s="103" t="s">
        <v>446</v>
      </c>
      <c r="C19" s="104" t="s">
        <v>447</v>
      </c>
      <c r="D19" s="105" t="s">
        <v>448</v>
      </c>
      <c r="E19" s="106" t="s">
        <v>449</v>
      </c>
    </row>
  </sheetData>
  <mergeCells count="4">
    <mergeCell ref="B1:E2"/>
    <mergeCell ref="B4:E4"/>
    <mergeCell ref="B9:E9"/>
    <mergeCell ref="B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tabSelected="1" topLeftCell="A6" zoomScaleNormal="100" workbookViewId="0">
      <selection activeCell="C8" sqref="C8"/>
    </sheetView>
  </sheetViews>
  <sheetFormatPr defaultColWidth="8.7109375" defaultRowHeight="18.75" x14ac:dyDescent="0.3"/>
  <cols>
    <col min="1" max="1" width="2" style="39" customWidth="1"/>
    <col min="2" max="2" width="16.5703125" style="39" customWidth="1"/>
    <col min="3" max="3" width="97" style="39" customWidth="1"/>
    <col min="4" max="4" width="22.28515625" style="39" customWidth="1"/>
    <col min="5" max="16384" width="8.7109375" style="39"/>
  </cols>
  <sheetData>
    <row r="1" spans="1:4" ht="13.5" customHeight="1" x14ac:dyDescent="0.3">
      <c r="A1" s="107"/>
      <c r="B1" s="130" t="s">
        <v>450</v>
      </c>
      <c r="C1" s="130"/>
      <c r="D1" s="130"/>
    </row>
    <row r="2" spans="1:4" ht="15.75" customHeight="1" x14ac:dyDescent="0.3">
      <c r="A2" s="107"/>
      <c r="B2" s="130"/>
      <c r="C2" s="130"/>
      <c r="D2" s="130"/>
    </row>
    <row r="3" spans="1:4" ht="19.5" customHeight="1" x14ac:dyDescent="0.3">
      <c r="B3" s="64" t="s">
        <v>451</v>
      </c>
      <c r="C3" s="64" t="s">
        <v>452</v>
      </c>
      <c r="D3" s="64" t="s">
        <v>453</v>
      </c>
    </row>
    <row r="4" spans="1:4" ht="19.5" customHeight="1" x14ac:dyDescent="0.3">
      <c r="B4" s="136" t="s">
        <v>454</v>
      </c>
      <c r="C4" s="137" t="s">
        <v>455</v>
      </c>
      <c r="D4" s="137"/>
    </row>
    <row r="5" spans="1:4" ht="93.75" customHeight="1" x14ac:dyDescent="0.3">
      <c r="B5" s="136"/>
      <c r="C5" s="108" t="s">
        <v>456</v>
      </c>
      <c r="D5" s="109" t="s">
        <v>457</v>
      </c>
    </row>
    <row r="7" spans="1:4" ht="19.5" customHeight="1" x14ac:dyDescent="0.3">
      <c r="B7" s="138" t="s">
        <v>458</v>
      </c>
      <c r="C7" s="139" t="s">
        <v>459</v>
      </c>
      <c r="D7" s="139"/>
    </row>
    <row r="8" spans="1:4" ht="168.75" customHeight="1" x14ac:dyDescent="0.3">
      <c r="B8" s="138"/>
      <c r="C8" s="110" t="s">
        <v>469</v>
      </c>
      <c r="D8" s="111" t="s">
        <v>460</v>
      </c>
    </row>
    <row r="10" spans="1:4" ht="19.5" customHeight="1" x14ac:dyDescent="0.3">
      <c r="B10" s="132" t="s">
        <v>461</v>
      </c>
      <c r="C10" s="133" t="s">
        <v>462</v>
      </c>
      <c r="D10" s="133"/>
    </row>
    <row r="11" spans="1:4" ht="150" customHeight="1" x14ac:dyDescent="0.3">
      <c r="B11" s="132"/>
      <c r="C11" s="112" t="s">
        <v>463</v>
      </c>
      <c r="D11" s="113" t="s">
        <v>464</v>
      </c>
    </row>
    <row r="13" spans="1:4" ht="19.5" customHeight="1" x14ac:dyDescent="0.3">
      <c r="B13" s="134" t="s">
        <v>465</v>
      </c>
      <c r="C13" s="135" t="s">
        <v>466</v>
      </c>
      <c r="D13" s="135"/>
    </row>
    <row r="14" spans="1:4" ht="112.5" customHeight="1" x14ac:dyDescent="0.3">
      <c r="B14" s="134"/>
      <c r="C14" s="114" t="s">
        <v>467</v>
      </c>
      <c r="D14" s="115" t="s">
        <v>468</v>
      </c>
    </row>
  </sheetData>
  <mergeCells count="9">
    <mergeCell ref="B10:B11"/>
    <mergeCell ref="C10:D10"/>
    <mergeCell ref="B13:B14"/>
    <mergeCell ref="C13:D13"/>
    <mergeCell ref="B1:D2"/>
    <mergeCell ref="B4:B5"/>
    <mergeCell ref="C4:D4"/>
    <mergeCell ref="B7:B8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Dashboard</vt:lpstr>
      <vt:lpstr>Exceptions Detail</vt:lpstr>
      <vt:lpstr>Summary Tables</vt:lpstr>
      <vt:lpstr>Vendor Analysis</vt:lpstr>
      <vt:lpstr>Formulas &amp; Calculations</vt:lpstr>
      <vt:lpstr>Project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Sanders</cp:lastModifiedBy>
  <cp:revision>5</cp:revision>
  <dcterms:created xsi:type="dcterms:W3CDTF">2026-03-12T23:43:56Z</dcterms:created>
  <dcterms:modified xsi:type="dcterms:W3CDTF">2026-03-13T23:19:47Z</dcterms:modified>
  <dc:language>en-US</dc:language>
</cp:coreProperties>
</file>